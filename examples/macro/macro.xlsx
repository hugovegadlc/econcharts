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ual" sheetId="1" state="visible" r:id="rId1"/>
    <sheet xmlns:r="http://schemas.openxmlformats.org/officeDocument/2006/relationships" name="mensual" sheetId="2" state="visible" r:id="rId2"/>
    <sheet xmlns:r="http://schemas.openxmlformats.org/officeDocument/2006/relationships" name="bdp" sheetId="3" state="visible" r:id="rId3"/>
    <sheet xmlns:r="http://schemas.openxmlformats.org/officeDocument/2006/relationships" name="fiscal" sheetId="4" state="visible" r:id="rId4"/>
    <sheet xmlns:r="http://schemas.openxmlformats.org/officeDocument/2006/relationships" name="pbi_pc" sheetId="5" state="visible" r:id="rId5"/>
    <sheet xmlns:r="http://schemas.openxmlformats.org/officeDocument/2006/relationships" name="NOT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5">
    <font>
      <name val="Calibri"/>
      <family val="2"/>
      <color theme="1"/>
      <sz val="11"/>
      <scheme val="minor"/>
    </font>
    <font>
      <b val="1"/>
      <color rgb="00FFFFFF"/>
    </font>
    <font>
      <i val="1"/>
      <color rgb="00444444"/>
      <sz val="8"/>
    </font>
    <font>
      <b val="1"/>
      <sz val="10"/>
    </font>
    <font>
      <sz val="9"/>
    </font>
  </fonts>
  <fills count="4">
    <fill>
      <patternFill/>
    </fill>
    <fill>
      <patternFill patternType="gray125"/>
    </fill>
    <fill>
      <patternFill patternType="solid">
        <fgColor rgb="000000A3"/>
      </patternFill>
    </fill>
    <fill>
      <patternFill patternType="solid">
        <fgColor rgb="00EF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wrapText="1"/>
    </xf>
    <xf numFmtId="165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8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year</t>
        </is>
      </c>
      <c r="B1" s="1" t="inlineStr">
        <is>
          <t>pbi_bn</t>
        </is>
      </c>
      <c r="C1" s="1" t="inlineStr">
        <is>
          <t>cons_priv_bn</t>
        </is>
      </c>
      <c r="D1" s="1" t="inlineStr">
        <is>
          <t>inv_priv_bn</t>
        </is>
      </c>
      <c r="E1" s="1" t="inlineStr">
        <is>
          <t>log_pbi</t>
        </is>
      </c>
      <c r="F1" s="1" t="inlineStr">
        <is>
          <t>log_cons_priv</t>
        </is>
      </c>
      <c r="G1" s="1" t="inlineStr">
        <is>
          <t>log_inv_priv</t>
        </is>
      </c>
      <c r="H1" s="1" t="inlineStr">
        <is>
          <t>pbi_g</t>
        </is>
      </c>
      <c r="I1" s="1" t="inlineStr">
        <is>
          <t>cons_priv_g</t>
        </is>
      </c>
      <c r="J1" s="1" t="inlineStr">
        <is>
          <t>inv_priv_g</t>
        </is>
      </c>
      <c r="K1" s="1" t="inlineStr">
        <is>
          <t>ti_g</t>
        </is>
      </c>
      <c r="L1" s="1" t="inlineStr">
        <is>
          <t>cons_priv_pct</t>
        </is>
      </c>
      <c r="M1" s="1" t="inlineStr">
        <is>
          <t>inv_priv_pct</t>
        </is>
      </c>
      <c r="N1" s="1" t="inlineStr">
        <is>
          <t>gasto_pub_pct</t>
        </is>
      </c>
      <c r="O1" s="1" t="inlineStr">
        <is>
          <t>balanza_c_pct</t>
        </is>
      </c>
      <c r="P1" s="1" t="inlineStr">
        <is>
          <t>inflacion</t>
        </is>
      </c>
      <c r="Q1" s="1" t="inlineStr">
        <is>
          <t>def_fiscal</t>
        </is>
      </c>
      <c r="R1" s="1" t="inlineStr">
        <is>
          <t>rin</t>
        </is>
      </c>
      <c r="S1" s="1" t="inlineStr">
        <is>
          <t>brecha_pbi</t>
        </is>
      </c>
    </row>
    <row r="2" ht="42" customHeight="1">
      <c r="A2" s="2" t="inlineStr"/>
      <c r="B2" s="2">
        <f> pbi / 1000</f>
        <v/>
      </c>
      <c r="C2" s="2">
        <f> cons_priv / 1000</f>
        <v/>
      </c>
      <c r="D2" s="2">
        <f> inv_bruta_fija_priv / 1000</f>
        <v/>
      </c>
      <c r="E2" s="2">
        <f> LN(pbi)</f>
        <v/>
      </c>
      <c r="F2" s="2">
        <f> LN(cons_priv)</f>
        <v/>
      </c>
      <c r="G2" s="2">
        <f> LN(inv_bruta_fija_priv)</f>
        <v/>
      </c>
      <c r="H2" s="2">
        <f> 100*(pbi/lag(pbi) - 1)</f>
        <v/>
      </c>
      <c r="I2" s="2">
        <f> 100*(cons_priv/lag(cons_priv) - 1)</f>
        <v/>
      </c>
      <c r="J2" s="2">
        <f> 100*(inv_bruta_fija_priv/lag(inv_bruta_fija_priv) - 1)</f>
        <v/>
      </c>
      <c r="K2" s="2">
        <f> 100*(ti/lag(ti) - 1)  [terms of trade]</f>
        <v/>
      </c>
      <c r="L2" s="2">
        <f> 100*cons_priv/pbi</f>
        <v/>
      </c>
      <c r="M2" s="2">
        <f> 100*inv_bruta_fija_priv/pbi</f>
        <v/>
      </c>
      <c r="N2" s="2">
        <f> 100*(cons_pub+inv_bruta_fija_pub)/pbi</f>
        <v/>
      </c>
      <c r="O2" s="2">
        <f> 100*(export-import)/pbi</f>
        <v/>
      </c>
      <c r="P2" s="2" t="inlineStr">
        <is>
          <t>as-is from BCRP (annual %)</t>
        </is>
      </c>
      <c r="Q2" s="2" t="inlineStr">
        <is>
          <t>as-is from BCRP (% PBI, deficit = positive)</t>
        </is>
      </c>
      <c r="R2" s="2" t="inlineStr">
        <is>
          <t>RIN miles de millones USD  [pendiente — BCRP]</t>
        </is>
      </c>
      <c r="S2" s="2">
        <f> 100*(LN(pbi) - HP_trend)  lambda=100  [pendiente]</f>
        <v/>
      </c>
    </row>
    <row r="3">
      <c r="A3" t="n">
        <v>1900</v>
      </c>
    </row>
    <row r="4">
      <c r="A4" t="n">
        <v>1901</v>
      </c>
    </row>
    <row r="5">
      <c r="A5" t="n">
        <v>1902</v>
      </c>
    </row>
    <row r="6">
      <c r="A6" t="n">
        <v>1903</v>
      </c>
    </row>
    <row r="7">
      <c r="A7" t="n">
        <v>1904</v>
      </c>
    </row>
    <row r="8">
      <c r="A8" t="n">
        <v>1905</v>
      </c>
    </row>
    <row r="9">
      <c r="A9" t="n">
        <v>1906</v>
      </c>
    </row>
    <row r="10">
      <c r="A10" t="n">
        <v>1907</v>
      </c>
    </row>
    <row r="11">
      <c r="A11" t="n">
        <v>1908</v>
      </c>
    </row>
    <row r="12">
      <c r="A12" t="n">
        <v>1909</v>
      </c>
    </row>
    <row r="13">
      <c r="A13" t="n">
        <v>1910</v>
      </c>
    </row>
    <row r="14">
      <c r="A14" t="n">
        <v>1911</v>
      </c>
    </row>
    <row r="15">
      <c r="A15" t="n">
        <v>1912</v>
      </c>
    </row>
    <row r="16">
      <c r="A16" t="n">
        <v>1913</v>
      </c>
    </row>
    <row r="17">
      <c r="A17" t="n">
        <v>1914</v>
      </c>
    </row>
    <row r="18">
      <c r="A18" t="n">
        <v>1915</v>
      </c>
    </row>
    <row r="19">
      <c r="A19" t="n">
        <v>1916</v>
      </c>
    </row>
    <row r="20">
      <c r="A20" t="n">
        <v>1917</v>
      </c>
    </row>
    <row r="21">
      <c r="A21" t="n">
        <v>1918</v>
      </c>
    </row>
    <row r="22">
      <c r="A22" t="n">
        <v>1919</v>
      </c>
    </row>
    <row r="23">
      <c r="A23" t="n">
        <v>1920</v>
      </c>
    </row>
    <row r="24">
      <c r="A24" t="n">
        <v>1921</v>
      </c>
    </row>
    <row r="25">
      <c r="A25" t="n">
        <v>1922</v>
      </c>
    </row>
    <row r="26">
      <c r="A26" t="n">
        <v>1923</v>
      </c>
    </row>
    <row r="27">
      <c r="A27" t="n">
        <v>1924</v>
      </c>
    </row>
    <row r="28">
      <c r="A28" t="n">
        <v>1925</v>
      </c>
    </row>
    <row r="29">
      <c r="A29" t="n">
        <v>1926</v>
      </c>
    </row>
    <row r="30">
      <c r="A30" t="n">
        <v>1927</v>
      </c>
    </row>
    <row r="31">
      <c r="A31" t="n">
        <v>1928</v>
      </c>
    </row>
    <row r="32">
      <c r="A32" t="n">
        <v>1929</v>
      </c>
    </row>
    <row r="33">
      <c r="A33" t="n">
        <v>1930</v>
      </c>
    </row>
    <row r="34">
      <c r="A34" t="n">
        <v>1931</v>
      </c>
    </row>
    <row r="35">
      <c r="A35" t="n">
        <v>1932</v>
      </c>
    </row>
    <row r="36">
      <c r="A36" t="n">
        <v>1933</v>
      </c>
    </row>
    <row r="37">
      <c r="A37" t="n">
        <v>1934</v>
      </c>
    </row>
    <row r="38">
      <c r="A38" t="n">
        <v>1935</v>
      </c>
    </row>
    <row r="39">
      <c r="A39" t="n">
        <v>1936</v>
      </c>
    </row>
    <row r="40">
      <c r="A40" t="n">
        <v>1937</v>
      </c>
    </row>
    <row r="41">
      <c r="A41" t="n">
        <v>1938</v>
      </c>
    </row>
    <row r="42">
      <c r="A42" t="n">
        <v>1939</v>
      </c>
    </row>
    <row r="43">
      <c r="A43" t="n">
        <v>1940</v>
      </c>
    </row>
    <row r="44">
      <c r="A44" t="n">
        <v>1941</v>
      </c>
    </row>
    <row r="45">
      <c r="A45" t="n">
        <v>1942</v>
      </c>
    </row>
    <row r="46">
      <c r="A46" t="n">
        <v>1943</v>
      </c>
    </row>
    <row r="47">
      <c r="A47" t="n">
        <v>1944</v>
      </c>
    </row>
    <row r="48">
      <c r="A48" t="n">
        <v>1945</v>
      </c>
    </row>
    <row r="49">
      <c r="A49" t="n">
        <v>1946</v>
      </c>
    </row>
    <row r="50">
      <c r="A50" t="n">
        <v>1947</v>
      </c>
    </row>
    <row r="51">
      <c r="A51" t="n">
        <v>1948</v>
      </c>
    </row>
    <row r="52">
      <c r="A52" t="n">
        <v>1949</v>
      </c>
    </row>
    <row r="53">
      <c r="A53" t="n">
        <v>1950</v>
      </c>
    </row>
    <row r="54">
      <c r="A54" t="n">
        <v>1951</v>
      </c>
    </row>
    <row r="55">
      <c r="A55" t="n">
        <v>1952</v>
      </c>
    </row>
    <row r="56">
      <c r="A56" t="n">
        <v>1953</v>
      </c>
    </row>
    <row r="57">
      <c r="A57" t="n">
        <v>1954</v>
      </c>
    </row>
    <row r="58">
      <c r="A58" t="n">
        <v>1955</v>
      </c>
    </row>
    <row r="59">
      <c r="A59" t="n">
        <v>1956</v>
      </c>
    </row>
    <row r="60">
      <c r="A60" t="n">
        <v>1957</v>
      </c>
    </row>
    <row r="61">
      <c r="A61" t="n">
        <v>1958</v>
      </c>
    </row>
    <row r="62">
      <c r="A62" t="n">
        <v>1959</v>
      </c>
    </row>
    <row r="63">
      <c r="A63" t="n">
        <v>1960</v>
      </c>
    </row>
    <row r="64">
      <c r="A64" t="n">
        <v>1961</v>
      </c>
    </row>
    <row r="65">
      <c r="A65" t="n">
        <v>1962</v>
      </c>
    </row>
    <row r="66">
      <c r="A66" t="n">
        <v>1963</v>
      </c>
    </row>
    <row r="67">
      <c r="A67" t="n">
        <v>1964</v>
      </c>
    </row>
    <row r="68">
      <c r="A68" t="n">
        <v>1965</v>
      </c>
    </row>
    <row r="69">
      <c r="A69" t="n">
        <v>1966</v>
      </c>
    </row>
    <row r="70">
      <c r="A70" t="n">
        <v>1967</v>
      </c>
    </row>
    <row r="71">
      <c r="A71" t="n">
        <v>1968</v>
      </c>
    </row>
    <row r="72">
      <c r="A72" t="n">
        <v>1969</v>
      </c>
    </row>
    <row r="73">
      <c r="A73" t="n">
        <v>1970</v>
      </c>
    </row>
    <row r="74">
      <c r="A74" t="n">
        <v>1971</v>
      </c>
    </row>
    <row r="75">
      <c r="A75" t="n">
        <v>1972</v>
      </c>
    </row>
    <row r="76">
      <c r="A76" t="n">
        <v>1973</v>
      </c>
    </row>
    <row r="77">
      <c r="A77" t="n">
        <v>1974</v>
      </c>
    </row>
    <row r="78">
      <c r="A78" t="n">
        <v>1975</v>
      </c>
    </row>
    <row r="79">
      <c r="A79" t="n">
        <v>1976</v>
      </c>
    </row>
    <row r="80">
      <c r="A80" t="n">
        <v>1977</v>
      </c>
    </row>
    <row r="81">
      <c r="A81" t="n">
        <v>1978</v>
      </c>
    </row>
    <row r="82">
      <c r="A82" t="n">
        <v>1979</v>
      </c>
    </row>
    <row r="83">
      <c r="A83" t="n">
        <v>1980</v>
      </c>
    </row>
    <row r="84">
      <c r="A84" t="n">
        <v>1981</v>
      </c>
    </row>
    <row r="85">
      <c r="A85" t="n">
        <v>1982</v>
      </c>
    </row>
    <row r="86">
      <c r="A86" t="n">
        <v>1983</v>
      </c>
    </row>
    <row r="87">
      <c r="A87" t="n">
        <v>1984</v>
      </c>
    </row>
    <row r="88">
      <c r="A88" t="n">
        <v>1985</v>
      </c>
    </row>
    <row r="89">
      <c r="A89" t="n">
        <v>1986</v>
      </c>
    </row>
    <row r="90">
      <c r="A90" t="n">
        <v>1987</v>
      </c>
    </row>
    <row r="91">
      <c r="A91" t="n">
        <v>1988</v>
      </c>
    </row>
    <row r="92">
      <c r="A92" t="n">
        <v>1989</v>
      </c>
    </row>
    <row r="93">
      <c r="A93" t="n">
        <v>1990</v>
      </c>
    </row>
    <row r="94">
      <c r="A94" t="n">
        <v>1991</v>
      </c>
    </row>
    <row r="95">
      <c r="A95" t="n">
        <v>1992</v>
      </c>
    </row>
    <row r="96">
      <c r="A96" t="n">
        <v>1993</v>
      </c>
    </row>
    <row r="97">
      <c r="A97" t="n">
        <v>1994</v>
      </c>
    </row>
    <row r="98">
      <c r="A98" t="n">
        <v>1995</v>
      </c>
    </row>
    <row r="99">
      <c r="A99" t="n">
        <v>1996</v>
      </c>
    </row>
    <row r="100">
      <c r="A100" t="n">
        <v>1997</v>
      </c>
    </row>
    <row r="101">
      <c r="A101" t="n">
        <v>1998</v>
      </c>
    </row>
    <row r="102">
      <c r="A102" t="n">
        <v>1999</v>
      </c>
    </row>
    <row r="103">
      <c r="A103" t="n">
        <v>2000</v>
      </c>
    </row>
    <row r="104">
      <c r="A104" t="n">
        <v>2001</v>
      </c>
    </row>
    <row r="105">
      <c r="A105" t="n">
        <v>2002</v>
      </c>
    </row>
    <row r="106">
      <c r="A106" t="n">
        <v>2003</v>
      </c>
    </row>
    <row r="107">
      <c r="A107" t="n">
        <v>2004</v>
      </c>
    </row>
    <row r="108">
      <c r="A108" t="n">
        <v>2005</v>
      </c>
    </row>
    <row r="109">
      <c r="A109" t="n">
        <v>2006</v>
      </c>
    </row>
    <row r="110">
      <c r="A110" t="n">
        <v>2007</v>
      </c>
    </row>
    <row r="111">
      <c r="A111" t="n">
        <v>2008</v>
      </c>
    </row>
    <row r="112">
      <c r="A112" t="n">
        <v>2009</v>
      </c>
    </row>
    <row r="113">
      <c r="A113" t="n">
        <v>2010</v>
      </c>
    </row>
    <row r="114">
      <c r="A114" t="n">
        <v>2011</v>
      </c>
    </row>
    <row r="115">
      <c r="A115" t="n">
        <v>2012</v>
      </c>
    </row>
    <row r="116">
      <c r="A116" t="n">
        <v>2013</v>
      </c>
    </row>
    <row r="117">
      <c r="A117" t="n">
        <v>2014</v>
      </c>
    </row>
    <row r="118">
      <c r="A118" t="n">
        <v>2015</v>
      </c>
    </row>
    <row r="119">
      <c r="A119" t="n">
        <v>2016</v>
      </c>
    </row>
    <row r="120">
      <c r="A120" t="n">
        <v>2017</v>
      </c>
    </row>
    <row r="121">
      <c r="A121" t="n">
        <v>2018</v>
      </c>
    </row>
    <row r="122">
      <c r="A122" t="n">
        <v>2019</v>
      </c>
    </row>
    <row r="123">
      <c r="A123" t="n">
        <v>2020</v>
      </c>
    </row>
    <row r="124">
      <c r="A124" t="n">
        <v>2021</v>
      </c>
    </row>
    <row r="125">
      <c r="A125" t="n">
        <v>2022</v>
      </c>
    </row>
    <row r="126">
      <c r="A126" t="n">
        <v>2023</v>
      </c>
    </row>
    <row r="127">
      <c r="A127" t="n">
        <v>2024</v>
      </c>
    </row>
    <row r="128">
      <c r="A128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0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</cols>
  <sheetData>
    <row r="1">
      <c r="A1" s="1" t="inlineStr">
        <is>
          <t>month</t>
        </is>
      </c>
      <c r="B1" s="1" t="inlineStr">
        <is>
          <t>tcn</t>
        </is>
      </c>
      <c r="C1" s="1" t="inlineStr">
        <is>
          <t>tcn_var</t>
        </is>
      </c>
    </row>
    <row r="2" ht="42" customHeight="1">
      <c r="A2" s="2" t="inlineStr"/>
      <c r="B2" s="2" t="inlineStr">
        <is>
          <t>as-is from BCRP (soles/USD)</t>
        </is>
      </c>
      <c r="C2" s="2">
        <f> 100*(tcn/tcn_prev_month - 1)  depreciacion mensual %</f>
        <v/>
      </c>
    </row>
    <row r="3">
      <c r="A3" s="3" t="n">
        <v>34304</v>
      </c>
    </row>
    <row r="4">
      <c r="A4" s="3" t="n">
        <v>34335</v>
      </c>
    </row>
    <row r="5">
      <c r="A5" s="3" t="n">
        <v>34366</v>
      </c>
    </row>
    <row r="6">
      <c r="A6" s="3" t="n">
        <v>34394</v>
      </c>
    </row>
    <row r="7">
      <c r="A7" s="3" t="n">
        <v>34425</v>
      </c>
    </row>
    <row r="8">
      <c r="A8" s="3" t="n">
        <v>34455</v>
      </c>
    </row>
    <row r="9">
      <c r="A9" s="3" t="n">
        <v>34486</v>
      </c>
    </row>
    <row r="10">
      <c r="A10" s="3" t="n">
        <v>34516</v>
      </c>
    </row>
    <row r="11">
      <c r="A11" s="3" t="n">
        <v>34547</v>
      </c>
    </row>
    <row r="12">
      <c r="A12" s="3" t="n">
        <v>34578</v>
      </c>
    </row>
    <row r="13">
      <c r="A13" s="3" t="n">
        <v>34608</v>
      </c>
    </row>
    <row r="14">
      <c r="A14" s="3" t="n">
        <v>34639</v>
      </c>
    </row>
    <row r="15">
      <c r="A15" s="3" t="n">
        <v>34669</v>
      </c>
    </row>
    <row r="16">
      <c r="A16" s="3" t="n">
        <v>34700</v>
      </c>
    </row>
    <row r="17">
      <c r="A17" s="3" t="n">
        <v>34731</v>
      </c>
    </row>
    <row r="18">
      <c r="A18" s="3" t="n">
        <v>34759</v>
      </c>
    </row>
    <row r="19">
      <c r="A19" s="3" t="n">
        <v>34790</v>
      </c>
    </row>
    <row r="20">
      <c r="A20" s="3" t="n">
        <v>34820</v>
      </c>
    </row>
    <row r="21">
      <c r="A21" s="3" t="n">
        <v>34851</v>
      </c>
    </row>
    <row r="22">
      <c r="A22" s="3" t="n">
        <v>34881</v>
      </c>
    </row>
    <row r="23">
      <c r="A23" s="3" t="n">
        <v>34912</v>
      </c>
    </row>
    <row r="24">
      <c r="A24" s="3" t="n">
        <v>34943</v>
      </c>
    </row>
    <row r="25">
      <c r="A25" s="3" t="n">
        <v>34973</v>
      </c>
    </row>
    <row r="26">
      <c r="A26" s="3" t="n">
        <v>35004</v>
      </c>
    </row>
    <row r="27">
      <c r="A27" s="3" t="n">
        <v>35034</v>
      </c>
    </row>
    <row r="28">
      <c r="A28" s="3" t="n">
        <v>35065</v>
      </c>
    </row>
    <row r="29">
      <c r="A29" s="3" t="n">
        <v>35096</v>
      </c>
    </row>
    <row r="30">
      <c r="A30" s="3" t="n">
        <v>35125</v>
      </c>
    </row>
    <row r="31">
      <c r="A31" s="3" t="n">
        <v>35156</v>
      </c>
    </row>
    <row r="32">
      <c r="A32" s="3" t="n">
        <v>35186</v>
      </c>
    </row>
    <row r="33">
      <c r="A33" s="3" t="n">
        <v>35217</v>
      </c>
    </row>
    <row r="34">
      <c r="A34" s="3" t="n">
        <v>35247</v>
      </c>
    </row>
    <row r="35">
      <c r="A35" s="3" t="n">
        <v>35278</v>
      </c>
    </row>
    <row r="36">
      <c r="A36" s="3" t="n">
        <v>35309</v>
      </c>
    </row>
    <row r="37">
      <c r="A37" s="3" t="n">
        <v>35339</v>
      </c>
    </row>
    <row r="38">
      <c r="A38" s="3" t="n">
        <v>35370</v>
      </c>
    </row>
    <row r="39">
      <c r="A39" s="3" t="n">
        <v>35400</v>
      </c>
    </row>
    <row r="40">
      <c r="A40" s="3" t="n">
        <v>35431</v>
      </c>
    </row>
    <row r="41">
      <c r="A41" s="3" t="n">
        <v>35462</v>
      </c>
    </row>
    <row r="42">
      <c r="A42" s="3" t="n">
        <v>35490</v>
      </c>
    </row>
    <row r="43">
      <c r="A43" s="3" t="n">
        <v>35521</v>
      </c>
    </row>
    <row r="44">
      <c r="A44" s="3" t="n">
        <v>35551</v>
      </c>
    </row>
    <row r="45">
      <c r="A45" s="3" t="n">
        <v>35582</v>
      </c>
    </row>
    <row r="46">
      <c r="A46" s="3" t="n">
        <v>35612</v>
      </c>
    </row>
    <row r="47">
      <c r="A47" s="3" t="n">
        <v>35643</v>
      </c>
    </row>
    <row r="48">
      <c r="A48" s="3" t="n">
        <v>35674</v>
      </c>
    </row>
    <row r="49">
      <c r="A49" s="3" t="n">
        <v>35704</v>
      </c>
    </row>
    <row r="50">
      <c r="A50" s="3" t="n">
        <v>35735</v>
      </c>
    </row>
    <row r="51">
      <c r="A51" s="3" t="n">
        <v>35765</v>
      </c>
    </row>
    <row r="52">
      <c r="A52" s="3" t="n">
        <v>35796</v>
      </c>
    </row>
    <row r="53">
      <c r="A53" s="3" t="n">
        <v>35827</v>
      </c>
    </row>
    <row r="54">
      <c r="A54" s="3" t="n">
        <v>35855</v>
      </c>
    </row>
    <row r="55">
      <c r="A55" s="3" t="n">
        <v>35886</v>
      </c>
    </row>
    <row r="56">
      <c r="A56" s="3" t="n">
        <v>35916</v>
      </c>
    </row>
    <row r="57">
      <c r="A57" s="3" t="n">
        <v>35947</v>
      </c>
    </row>
    <row r="58">
      <c r="A58" s="3" t="n">
        <v>35977</v>
      </c>
    </row>
    <row r="59">
      <c r="A59" s="3" t="n">
        <v>36008</v>
      </c>
    </row>
    <row r="60">
      <c r="A60" s="3" t="n">
        <v>36039</v>
      </c>
    </row>
    <row r="61">
      <c r="A61" s="3" t="n">
        <v>36069</v>
      </c>
    </row>
    <row r="62">
      <c r="A62" s="3" t="n">
        <v>36100</v>
      </c>
    </row>
    <row r="63">
      <c r="A63" s="3" t="n">
        <v>36130</v>
      </c>
    </row>
    <row r="64">
      <c r="A64" s="3" t="n">
        <v>36161</v>
      </c>
    </row>
    <row r="65">
      <c r="A65" s="3" t="n">
        <v>36192</v>
      </c>
    </row>
    <row r="66">
      <c r="A66" s="3" t="n">
        <v>36220</v>
      </c>
    </row>
    <row r="67">
      <c r="A67" s="3" t="n">
        <v>36251</v>
      </c>
    </row>
    <row r="68">
      <c r="A68" s="3" t="n">
        <v>36281</v>
      </c>
    </row>
    <row r="69">
      <c r="A69" s="3" t="n">
        <v>36312</v>
      </c>
    </row>
    <row r="70">
      <c r="A70" s="3" t="n">
        <v>36342</v>
      </c>
    </row>
    <row r="71">
      <c r="A71" s="3" t="n">
        <v>36373</v>
      </c>
    </row>
    <row r="72">
      <c r="A72" s="3" t="n">
        <v>36404</v>
      </c>
    </row>
    <row r="73">
      <c r="A73" s="3" t="n">
        <v>36434</v>
      </c>
    </row>
    <row r="74">
      <c r="A74" s="3" t="n">
        <v>36465</v>
      </c>
    </row>
    <row r="75">
      <c r="A75" s="3" t="n">
        <v>36495</v>
      </c>
    </row>
    <row r="76">
      <c r="A76" s="3" t="n">
        <v>36526</v>
      </c>
    </row>
    <row r="77">
      <c r="A77" s="3" t="n">
        <v>36557</v>
      </c>
    </row>
    <row r="78">
      <c r="A78" s="3" t="n">
        <v>36586</v>
      </c>
    </row>
    <row r="79">
      <c r="A79" s="3" t="n">
        <v>36617</v>
      </c>
    </row>
    <row r="80">
      <c r="A80" s="3" t="n">
        <v>36647</v>
      </c>
    </row>
    <row r="81">
      <c r="A81" s="3" t="n">
        <v>36678</v>
      </c>
    </row>
    <row r="82">
      <c r="A82" s="3" t="n">
        <v>36708</v>
      </c>
    </row>
    <row r="83">
      <c r="A83" s="3" t="n">
        <v>36739</v>
      </c>
    </row>
    <row r="84">
      <c r="A84" s="3" t="n">
        <v>36770</v>
      </c>
    </row>
    <row r="85">
      <c r="A85" s="3" t="n">
        <v>36800</v>
      </c>
    </row>
    <row r="86">
      <c r="A86" s="3" t="n">
        <v>36831</v>
      </c>
    </row>
    <row r="87">
      <c r="A87" s="3" t="n">
        <v>36861</v>
      </c>
    </row>
    <row r="88">
      <c r="A88" s="3" t="n">
        <v>36892</v>
      </c>
    </row>
    <row r="89">
      <c r="A89" s="3" t="n">
        <v>36923</v>
      </c>
    </row>
    <row r="90">
      <c r="A90" s="3" t="n">
        <v>36951</v>
      </c>
    </row>
    <row r="91">
      <c r="A91" s="3" t="n">
        <v>36982</v>
      </c>
    </row>
    <row r="92">
      <c r="A92" s="3" t="n">
        <v>37012</v>
      </c>
    </row>
    <row r="93">
      <c r="A93" s="3" t="n">
        <v>37043</v>
      </c>
    </row>
    <row r="94">
      <c r="A94" s="3" t="n">
        <v>37073</v>
      </c>
    </row>
    <row r="95">
      <c r="A95" s="3" t="n">
        <v>37104</v>
      </c>
    </row>
    <row r="96">
      <c r="A96" s="3" t="n">
        <v>37135</v>
      </c>
    </row>
    <row r="97">
      <c r="A97" s="3" t="n">
        <v>37165</v>
      </c>
    </row>
    <row r="98">
      <c r="A98" s="3" t="n">
        <v>37196</v>
      </c>
    </row>
    <row r="99">
      <c r="A99" s="3" t="n">
        <v>37226</v>
      </c>
    </row>
    <row r="100">
      <c r="A100" s="3" t="n">
        <v>37257</v>
      </c>
    </row>
    <row r="101">
      <c r="A101" s="3" t="n">
        <v>37288</v>
      </c>
    </row>
    <row r="102">
      <c r="A102" s="3" t="n">
        <v>37316</v>
      </c>
    </row>
    <row r="103">
      <c r="A103" s="3" t="n">
        <v>37347</v>
      </c>
    </row>
    <row r="104">
      <c r="A104" s="3" t="n">
        <v>37377</v>
      </c>
    </row>
    <row r="105">
      <c r="A105" s="3" t="n">
        <v>37408</v>
      </c>
    </row>
    <row r="106">
      <c r="A106" s="3" t="n">
        <v>37438</v>
      </c>
    </row>
    <row r="107">
      <c r="A107" s="3" t="n">
        <v>37469</v>
      </c>
    </row>
    <row r="108">
      <c r="A108" s="3" t="n">
        <v>37500</v>
      </c>
    </row>
    <row r="109">
      <c r="A109" s="3" t="n">
        <v>37530</v>
      </c>
    </row>
    <row r="110">
      <c r="A110" s="3" t="n">
        <v>37561</v>
      </c>
    </row>
    <row r="111">
      <c r="A111" s="3" t="n">
        <v>37591</v>
      </c>
    </row>
    <row r="112">
      <c r="A112" s="3" t="n">
        <v>37622</v>
      </c>
    </row>
    <row r="113">
      <c r="A113" s="3" t="n">
        <v>37653</v>
      </c>
    </row>
    <row r="114">
      <c r="A114" s="3" t="n">
        <v>37681</v>
      </c>
    </row>
    <row r="115">
      <c r="A115" s="3" t="n">
        <v>37712</v>
      </c>
    </row>
    <row r="116">
      <c r="A116" s="3" t="n">
        <v>37742</v>
      </c>
    </row>
    <row r="117">
      <c r="A117" s="3" t="n">
        <v>37773</v>
      </c>
    </row>
    <row r="118">
      <c r="A118" s="3" t="n">
        <v>37803</v>
      </c>
    </row>
    <row r="119">
      <c r="A119" s="3" t="n">
        <v>37834</v>
      </c>
    </row>
    <row r="120">
      <c r="A120" s="3" t="n">
        <v>37865</v>
      </c>
    </row>
    <row r="121">
      <c r="A121" s="3" t="n">
        <v>37895</v>
      </c>
    </row>
    <row r="122">
      <c r="A122" s="3" t="n">
        <v>37926</v>
      </c>
    </row>
    <row r="123">
      <c r="A123" s="3" t="n">
        <v>37956</v>
      </c>
    </row>
    <row r="124">
      <c r="A124" s="3" t="n">
        <v>37987</v>
      </c>
    </row>
    <row r="125">
      <c r="A125" s="3" t="n">
        <v>38018</v>
      </c>
    </row>
    <row r="126">
      <c r="A126" s="3" t="n">
        <v>38047</v>
      </c>
    </row>
    <row r="127">
      <c r="A127" s="3" t="n">
        <v>38078</v>
      </c>
    </row>
    <row r="128">
      <c r="A128" s="3" t="n">
        <v>38108</v>
      </c>
    </row>
    <row r="129">
      <c r="A129" s="3" t="n">
        <v>38139</v>
      </c>
    </row>
    <row r="130">
      <c r="A130" s="3" t="n">
        <v>38169</v>
      </c>
    </row>
    <row r="131">
      <c r="A131" s="3" t="n">
        <v>38200</v>
      </c>
    </row>
    <row r="132">
      <c r="A132" s="3" t="n">
        <v>38231</v>
      </c>
    </row>
    <row r="133">
      <c r="A133" s="3" t="n">
        <v>38261</v>
      </c>
    </row>
    <row r="134">
      <c r="A134" s="3" t="n">
        <v>38292</v>
      </c>
    </row>
    <row r="135">
      <c r="A135" s="3" t="n">
        <v>38322</v>
      </c>
    </row>
    <row r="136">
      <c r="A136" s="3" t="n">
        <v>38353</v>
      </c>
    </row>
    <row r="137">
      <c r="A137" s="3" t="n">
        <v>38384</v>
      </c>
    </row>
    <row r="138">
      <c r="A138" s="3" t="n">
        <v>38412</v>
      </c>
    </row>
    <row r="139">
      <c r="A139" s="3" t="n">
        <v>38443</v>
      </c>
    </row>
    <row r="140">
      <c r="A140" s="3" t="n">
        <v>38473</v>
      </c>
    </row>
    <row r="141">
      <c r="A141" s="3" t="n">
        <v>38504</v>
      </c>
    </row>
    <row r="142">
      <c r="A142" s="3" t="n">
        <v>38534</v>
      </c>
    </row>
    <row r="143">
      <c r="A143" s="3" t="n">
        <v>38565</v>
      </c>
    </row>
    <row r="144">
      <c r="A144" s="3" t="n">
        <v>38596</v>
      </c>
    </row>
    <row r="145">
      <c r="A145" s="3" t="n">
        <v>38626</v>
      </c>
    </row>
    <row r="146">
      <c r="A146" s="3" t="n">
        <v>38657</v>
      </c>
    </row>
    <row r="147">
      <c r="A147" s="3" t="n">
        <v>38687</v>
      </c>
    </row>
    <row r="148">
      <c r="A148" s="3" t="n">
        <v>38718</v>
      </c>
    </row>
    <row r="149">
      <c r="A149" s="3" t="n">
        <v>38749</v>
      </c>
    </row>
    <row r="150">
      <c r="A150" s="3" t="n">
        <v>38777</v>
      </c>
    </row>
    <row r="151">
      <c r="A151" s="3" t="n">
        <v>38808</v>
      </c>
    </row>
    <row r="152">
      <c r="A152" s="3" t="n">
        <v>38838</v>
      </c>
    </row>
    <row r="153">
      <c r="A153" s="3" t="n">
        <v>38869</v>
      </c>
    </row>
    <row r="154">
      <c r="A154" s="3" t="n">
        <v>38899</v>
      </c>
    </row>
    <row r="155">
      <c r="A155" s="3" t="n">
        <v>38930</v>
      </c>
    </row>
    <row r="156">
      <c r="A156" s="3" t="n">
        <v>38961</v>
      </c>
    </row>
    <row r="157">
      <c r="A157" s="3" t="n">
        <v>38991</v>
      </c>
    </row>
    <row r="158">
      <c r="A158" s="3" t="n">
        <v>39022</v>
      </c>
    </row>
    <row r="159">
      <c r="A159" s="3" t="n">
        <v>39052</v>
      </c>
    </row>
    <row r="160">
      <c r="A160" s="3" t="n">
        <v>39083</v>
      </c>
    </row>
    <row r="161">
      <c r="A161" s="3" t="n">
        <v>39114</v>
      </c>
    </row>
    <row r="162">
      <c r="A162" s="3" t="n">
        <v>39142</v>
      </c>
    </row>
    <row r="163">
      <c r="A163" s="3" t="n">
        <v>39173</v>
      </c>
    </row>
    <row r="164">
      <c r="A164" s="3" t="n">
        <v>39203</v>
      </c>
    </row>
    <row r="165">
      <c r="A165" s="3" t="n">
        <v>39234</v>
      </c>
    </row>
    <row r="166">
      <c r="A166" s="3" t="n">
        <v>39264</v>
      </c>
    </row>
    <row r="167">
      <c r="A167" s="3" t="n">
        <v>39295</v>
      </c>
    </row>
    <row r="168">
      <c r="A168" s="3" t="n">
        <v>39326</v>
      </c>
    </row>
    <row r="169">
      <c r="A169" s="3" t="n">
        <v>39356</v>
      </c>
    </row>
    <row r="170">
      <c r="A170" s="3" t="n">
        <v>39387</v>
      </c>
    </row>
    <row r="171">
      <c r="A171" s="3" t="n">
        <v>39417</v>
      </c>
    </row>
    <row r="172">
      <c r="A172" s="3" t="n">
        <v>39448</v>
      </c>
    </row>
    <row r="173">
      <c r="A173" s="3" t="n">
        <v>39479</v>
      </c>
    </row>
    <row r="174">
      <c r="A174" s="3" t="n">
        <v>39508</v>
      </c>
    </row>
    <row r="175">
      <c r="A175" s="3" t="n">
        <v>39539</v>
      </c>
    </row>
    <row r="176">
      <c r="A176" s="3" t="n">
        <v>39569</v>
      </c>
    </row>
    <row r="177">
      <c r="A177" s="3" t="n">
        <v>39600</v>
      </c>
    </row>
    <row r="178">
      <c r="A178" s="3" t="n">
        <v>39630</v>
      </c>
    </row>
    <row r="179">
      <c r="A179" s="3" t="n">
        <v>39661</v>
      </c>
    </row>
    <row r="180">
      <c r="A180" s="3" t="n">
        <v>39692</v>
      </c>
    </row>
    <row r="181">
      <c r="A181" s="3" t="n">
        <v>39722</v>
      </c>
    </row>
    <row r="182">
      <c r="A182" s="3" t="n">
        <v>39753</v>
      </c>
    </row>
    <row r="183">
      <c r="A183" s="3" t="n">
        <v>39783</v>
      </c>
    </row>
    <row r="184">
      <c r="A184" s="3" t="n">
        <v>39814</v>
      </c>
    </row>
    <row r="185">
      <c r="A185" s="3" t="n">
        <v>39845</v>
      </c>
    </row>
    <row r="186">
      <c r="A186" s="3" t="n">
        <v>39873</v>
      </c>
    </row>
    <row r="187">
      <c r="A187" s="3" t="n">
        <v>39904</v>
      </c>
    </row>
    <row r="188">
      <c r="A188" s="3" t="n">
        <v>39934</v>
      </c>
    </row>
    <row r="189">
      <c r="A189" s="3" t="n">
        <v>39965</v>
      </c>
    </row>
    <row r="190">
      <c r="A190" s="3" t="n">
        <v>39995</v>
      </c>
    </row>
    <row r="191">
      <c r="A191" s="3" t="n">
        <v>40026</v>
      </c>
    </row>
    <row r="192">
      <c r="A192" s="3" t="n">
        <v>40057</v>
      </c>
    </row>
    <row r="193">
      <c r="A193" s="3" t="n">
        <v>40087</v>
      </c>
    </row>
    <row r="194">
      <c r="A194" s="3" t="n">
        <v>40118</v>
      </c>
    </row>
    <row r="195">
      <c r="A195" s="3" t="n">
        <v>40148</v>
      </c>
    </row>
    <row r="196">
      <c r="A196" s="3" t="n">
        <v>40179</v>
      </c>
    </row>
    <row r="197">
      <c r="A197" s="3" t="n">
        <v>40210</v>
      </c>
    </row>
    <row r="198">
      <c r="A198" s="3" t="n">
        <v>40238</v>
      </c>
    </row>
    <row r="199">
      <c r="A199" s="3" t="n">
        <v>40269</v>
      </c>
    </row>
    <row r="200">
      <c r="A200" s="3" t="n">
        <v>40299</v>
      </c>
    </row>
    <row r="201">
      <c r="A201" s="3" t="n">
        <v>40330</v>
      </c>
    </row>
    <row r="202">
      <c r="A202" s="3" t="n">
        <v>40360</v>
      </c>
    </row>
    <row r="203">
      <c r="A203" s="3" t="n">
        <v>40391</v>
      </c>
    </row>
    <row r="204">
      <c r="A204" s="3" t="n">
        <v>40422</v>
      </c>
    </row>
    <row r="205">
      <c r="A205" s="3" t="n">
        <v>40452</v>
      </c>
    </row>
    <row r="206">
      <c r="A206" s="3" t="n">
        <v>40483</v>
      </c>
    </row>
    <row r="207">
      <c r="A207" s="3" t="n">
        <v>40513</v>
      </c>
    </row>
    <row r="208">
      <c r="A208" s="3" t="n">
        <v>40544</v>
      </c>
    </row>
    <row r="209">
      <c r="A209" s="3" t="n">
        <v>40575</v>
      </c>
    </row>
    <row r="210">
      <c r="A210" s="3" t="n">
        <v>40603</v>
      </c>
    </row>
    <row r="211">
      <c r="A211" s="3" t="n">
        <v>40634</v>
      </c>
    </row>
    <row r="212">
      <c r="A212" s="3" t="n">
        <v>40664</v>
      </c>
    </row>
    <row r="213">
      <c r="A213" s="3" t="n">
        <v>40695</v>
      </c>
    </row>
    <row r="214">
      <c r="A214" s="3" t="n">
        <v>40725</v>
      </c>
    </row>
    <row r="215">
      <c r="A215" s="3" t="n">
        <v>40756</v>
      </c>
    </row>
    <row r="216">
      <c r="A216" s="3" t="n">
        <v>40787</v>
      </c>
    </row>
    <row r="217">
      <c r="A217" s="3" t="n">
        <v>40817</v>
      </c>
    </row>
    <row r="218">
      <c r="A218" s="3" t="n">
        <v>40848</v>
      </c>
    </row>
    <row r="219">
      <c r="A219" s="3" t="n">
        <v>40878</v>
      </c>
    </row>
    <row r="220">
      <c r="A220" s="3" t="n">
        <v>40909</v>
      </c>
    </row>
    <row r="221">
      <c r="A221" s="3" t="n">
        <v>40940</v>
      </c>
    </row>
    <row r="222">
      <c r="A222" s="3" t="n">
        <v>40969</v>
      </c>
    </row>
    <row r="223">
      <c r="A223" s="3" t="n">
        <v>41000</v>
      </c>
    </row>
    <row r="224">
      <c r="A224" s="3" t="n">
        <v>41030</v>
      </c>
    </row>
    <row r="225">
      <c r="A225" s="3" t="n">
        <v>41061</v>
      </c>
    </row>
    <row r="226">
      <c r="A226" s="3" t="n">
        <v>41091</v>
      </c>
    </row>
    <row r="227">
      <c r="A227" s="3" t="n">
        <v>41122</v>
      </c>
    </row>
    <row r="228">
      <c r="A228" s="3" t="n">
        <v>41153</v>
      </c>
    </row>
    <row r="229">
      <c r="A229" s="3" t="n">
        <v>41183</v>
      </c>
    </row>
    <row r="230">
      <c r="A230" s="3" t="n">
        <v>41214</v>
      </c>
    </row>
    <row r="231">
      <c r="A231" s="3" t="n">
        <v>41244</v>
      </c>
    </row>
    <row r="232">
      <c r="A232" s="3" t="n">
        <v>41275</v>
      </c>
    </row>
    <row r="233">
      <c r="A233" s="3" t="n">
        <v>41306</v>
      </c>
    </row>
    <row r="234">
      <c r="A234" s="3" t="n">
        <v>41334</v>
      </c>
    </row>
    <row r="235">
      <c r="A235" s="3" t="n">
        <v>41365</v>
      </c>
    </row>
    <row r="236">
      <c r="A236" s="3" t="n">
        <v>41395</v>
      </c>
    </row>
    <row r="237">
      <c r="A237" s="3" t="n">
        <v>41426</v>
      </c>
    </row>
    <row r="238">
      <c r="A238" s="3" t="n">
        <v>41456</v>
      </c>
    </row>
    <row r="239">
      <c r="A239" s="3" t="n">
        <v>41487</v>
      </c>
    </row>
    <row r="240">
      <c r="A240" s="3" t="n">
        <v>41518</v>
      </c>
    </row>
    <row r="241">
      <c r="A241" s="3" t="n">
        <v>41548</v>
      </c>
    </row>
    <row r="242">
      <c r="A242" s="3" t="n">
        <v>41579</v>
      </c>
    </row>
    <row r="243">
      <c r="A243" s="3" t="n">
        <v>41609</v>
      </c>
    </row>
    <row r="244">
      <c r="A244" s="3" t="n">
        <v>41640</v>
      </c>
    </row>
    <row r="245">
      <c r="A245" s="3" t="n">
        <v>41671</v>
      </c>
    </row>
    <row r="246">
      <c r="A246" s="3" t="n">
        <v>41699</v>
      </c>
    </row>
    <row r="247">
      <c r="A247" s="3" t="n">
        <v>41730</v>
      </c>
    </row>
    <row r="248">
      <c r="A248" s="3" t="n">
        <v>41760</v>
      </c>
    </row>
    <row r="249">
      <c r="A249" s="3" t="n">
        <v>41791</v>
      </c>
    </row>
    <row r="250">
      <c r="A250" s="3" t="n">
        <v>41821</v>
      </c>
    </row>
    <row r="251">
      <c r="A251" s="3" t="n">
        <v>41852</v>
      </c>
    </row>
    <row r="252">
      <c r="A252" s="3" t="n">
        <v>41883</v>
      </c>
    </row>
    <row r="253">
      <c r="A253" s="3" t="n">
        <v>41913</v>
      </c>
    </row>
    <row r="254">
      <c r="A254" s="3" t="n">
        <v>41944</v>
      </c>
    </row>
    <row r="255">
      <c r="A255" s="3" t="n">
        <v>41974</v>
      </c>
    </row>
    <row r="256">
      <c r="A256" s="3" t="n">
        <v>42005</v>
      </c>
    </row>
    <row r="257">
      <c r="A257" s="3" t="n">
        <v>42036</v>
      </c>
    </row>
    <row r="258">
      <c r="A258" s="3" t="n">
        <v>42064</v>
      </c>
    </row>
    <row r="259">
      <c r="A259" s="3" t="n">
        <v>42095</v>
      </c>
    </row>
    <row r="260">
      <c r="A260" s="3" t="n">
        <v>42125</v>
      </c>
    </row>
    <row r="261">
      <c r="A261" s="3" t="n">
        <v>42156</v>
      </c>
    </row>
    <row r="262">
      <c r="A262" s="3" t="n">
        <v>42186</v>
      </c>
    </row>
    <row r="263">
      <c r="A263" s="3" t="n">
        <v>42217</v>
      </c>
    </row>
    <row r="264">
      <c r="A264" s="3" t="n">
        <v>42248</v>
      </c>
    </row>
    <row r="265">
      <c r="A265" s="3" t="n">
        <v>42278</v>
      </c>
    </row>
    <row r="266">
      <c r="A266" s="3" t="n">
        <v>42309</v>
      </c>
    </row>
    <row r="267">
      <c r="A267" s="3" t="n">
        <v>42339</v>
      </c>
    </row>
    <row r="268">
      <c r="A268" s="3" t="n">
        <v>42370</v>
      </c>
    </row>
    <row r="269">
      <c r="A269" s="3" t="n">
        <v>42401</v>
      </c>
    </row>
    <row r="270">
      <c r="A270" s="3" t="n">
        <v>42430</v>
      </c>
    </row>
    <row r="271">
      <c r="A271" s="3" t="n">
        <v>42461</v>
      </c>
    </row>
    <row r="272">
      <c r="A272" s="3" t="n">
        <v>42491</v>
      </c>
    </row>
    <row r="273">
      <c r="A273" s="3" t="n">
        <v>42522</v>
      </c>
    </row>
    <row r="274">
      <c r="A274" s="3" t="n">
        <v>42552</v>
      </c>
    </row>
    <row r="275">
      <c r="A275" s="3" t="n">
        <v>42583</v>
      </c>
    </row>
    <row r="276">
      <c r="A276" s="3" t="n">
        <v>42614</v>
      </c>
    </row>
    <row r="277">
      <c r="A277" s="3" t="n">
        <v>42644</v>
      </c>
    </row>
    <row r="278">
      <c r="A278" s="3" t="n">
        <v>42675</v>
      </c>
    </row>
    <row r="279">
      <c r="A279" s="3" t="n">
        <v>42705</v>
      </c>
    </row>
    <row r="280">
      <c r="A280" s="3" t="n">
        <v>42736</v>
      </c>
    </row>
    <row r="281">
      <c r="A281" s="3" t="n">
        <v>42767</v>
      </c>
    </row>
    <row r="282">
      <c r="A282" s="3" t="n">
        <v>42795</v>
      </c>
    </row>
    <row r="283">
      <c r="A283" s="3" t="n">
        <v>42826</v>
      </c>
    </row>
    <row r="284">
      <c r="A284" s="3" t="n">
        <v>42856</v>
      </c>
    </row>
    <row r="285">
      <c r="A285" s="3" t="n">
        <v>42887</v>
      </c>
    </row>
    <row r="286">
      <c r="A286" s="3" t="n">
        <v>42917</v>
      </c>
    </row>
    <row r="287">
      <c r="A287" s="3" t="n">
        <v>42948</v>
      </c>
    </row>
    <row r="288">
      <c r="A288" s="3" t="n">
        <v>42979</v>
      </c>
    </row>
    <row r="289">
      <c r="A289" s="3" t="n">
        <v>43009</v>
      </c>
    </row>
    <row r="290">
      <c r="A290" s="3" t="n">
        <v>43040</v>
      </c>
    </row>
    <row r="291">
      <c r="A291" s="3" t="n">
        <v>43070</v>
      </c>
    </row>
    <row r="292">
      <c r="A292" s="3" t="n">
        <v>43101</v>
      </c>
    </row>
    <row r="293">
      <c r="A293" s="3" t="n">
        <v>43132</v>
      </c>
    </row>
    <row r="294">
      <c r="A294" s="3" t="n">
        <v>43160</v>
      </c>
    </row>
    <row r="295">
      <c r="A295" s="3" t="n">
        <v>43191</v>
      </c>
    </row>
    <row r="296">
      <c r="A296" s="3" t="n">
        <v>43221</v>
      </c>
    </row>
    <row r="297">
      <c r="A297" s="3" t="n">
        <v>43252</v>
      </c>
    </row>
    <row r="298">
      <c r="A298" s="3" t="n">
        <v>43282</v>
      </c>
    </row>
    <row r="299">
      <c r="A299" s="3" t="n">
        <v>43313</v>
      </c>
    </row>
    <row r="300">
      <c r="A300" s="3" t="n">
        <v>43344</v>
      </c>
    </row>
    <row r="301">
      <c r="A301" s="3" t="n">
        <v>43374</v>
      </c>
    </row>
    <row r="302">
      <c r="A302" s="3" t="n">
        <v>43405</v>
      </c>
    </row>
    <row r="303">
      <c r="A303" s="3" t="n">
        <v>43435</v>
      </c>
    </row>
    <row r="304">
      <c r="A304" s="3" t="n">
        <v>43466</v>
      </c>
    </row>
    <row r="305">
      <c r="A305" s="3" t="n">
        <v>43497</v>
      </c>
    </row>
    <row r="306">
      <c r="A306" s="3" t="n">
        <v>43525</v>
      </c>
    </row>
    <row r="307">
      <c r="A307" s="3" t="n">
        <v>43556</v>
      </c>
    </row>
    <row r="308">
      <c r="A308" s="3" t="n">
        <v>43586</v>
      </c>
    </row>
    <row r="309">
      <c r="A309" s="3" t="n">
        <v>43617</v>
      </c>
    </row>
    <row r="310">
      <c r="A310" s="3" t="n">
        <v>43647</v>
      </c>
    </row>
    <row r="311">
      <c r="A311" s="3" t="n">
        <v>43678</v>
      </c>
    </row>
    <row r="312">
      <c r="A312" s="3" t="n">
        <v>43709</v>
      </c>
    </row>
    <row r="313">
      <c r="A313" s="3" t="n">
        <v>43739</v>
      </c>
    </row>
    <row r="314">
      <c r="A314" s="3" t="n">
        <v>43770</v>
      </c>
    </row>
    <row r="315">
      <c r="A315" s="3" t="n">
        <v>43800</v>
      </c>
    </row>
    <row r="316">
      <c r="A316" s="3" t="n">
        <v>43831</v>
      </c>
    </row>
    <row r="317">
      <c r="A317" s="3" t="n">
        <v>43862</v>
      </c>
    </row>
    <row r="318">
      <c r="A318" s="3" t="n">
        <v>43891</v>
      </c>
    </row>
    <row r="319">
      <c r="A319" s="3" t="n">
        <v>43922</v>
      </c>
    </row>
    <row r="320">
      <c r="A320" s="3" t="n">
        <v>43952</v>
      </c>
    </row>
    <row r="321">
      <c r="A321" s="3" t="n">
        <v>43983</v>
      </c>
    </row>
    <row r="322">
      <c r="A322" s="3" t="n">
        <v>44013</v>
      </c>
    </row>
    <row r="323">
      <c r="A323" s="3" t="n">
        <v>44044</v>
      </c>
    </row>
    <row r="324">
      <c r="A324" s="3" t="n">
        <v>44075</v>
      </c>
    </row>
    <row r="325">
      <c r="A325" s="3" t="n">
        <v>44105</v>
      </c>
    </row>
    <row r="326">
      <c r="A326" s="3" t="n">
        <v>44136</v>
      </c>
    </row>
    <row r="327">
      <c r="A327" s="3" t="n">
        <v>44166</v>
      </c>
    </row>
    <row r="328">
      <c r="A328" s="3" t="n">
        <v>44197</v>
      </c>
    </row>
    <row r="329">
      <c r="A329" s="3" t="n">
        <v>44228</v>
      </c>
    </row>
    <row r="330">
      <c r="A330" s="3" t="n">
        <v>44256</v>
      </c>
    </row>
    <row r="331">
      <c r="A331" s="3" t="n">
        <v>44287</v>
      </c>
    </row>
    <row r="332">
      <c r="A332" s="3" t="n">
        <v>44317</v>
      </c>
    </row>
    <row r="333">
      <c r="A333" s="3" t="n">
        <v>44348</v>
      </c>
    </row>
    <row r="334">
      <c r="A334" s="3" t="n">
        <v>44378</v>
      </c>
    </row>
    <row r="335">
      <c r="A335" s="3" t="n">
        <v>44409</v>
      </c>
    </row>
    <row r="336">
      <c r="A336" s="3" t="n">
        <v>44440</v>
      </c>
    </row>
    <row r="337">
      <c r="A337" s="3" t="n">
        <v>44470</v>
      </c>
    </row>
    <row r="338">
      <c r="A338" s="3" t="n">
        <v>44501</v>
      </c>
    </row>
    <row r="339">
      <c r="A339" s="3" t="n">
        <v>44531</v>
      </c>
    </row>
    <row r="340">
      <c r="A340" s="3" t="n">
        <v>44562</v>
      </c>
    </row>
    <row r="341">
      <c r="A341" s="3" t="n">
        <v>44593</v>
      </c>
    </row>
    <row r="342">
      <c r="A342" s="3" t="n">
        <v>44621</v>
      </c>
    </row>
    <row r="343">
      <c r="A343" s="3" t="n">
        <v>44652</v>
      </c>
    </row>
    <row r="344">
      <c r="A344" s="3" t="n">
        <v>44682</v>
      </c>
    </row>
    <row r="345">
      <c r="A345" s="3" t="n">
        <v>44713</v>
      </c>
    </row>
    <row r="346">
      <c r="A346" s="3" t="n">
        <v>44743</v>
      </c>
    </row>
    <row r="347">
      <c r="A347" s="3" t="n">
        <v>44774</v>
      </c>
    </row>
    <row r="348">
      <c r="A348" s="3" t="n">
        <v>44805</v>
      </c>
    </row>
    <row r="349">
      <c r="A349" s="3" t="n">
        <v>44835</v>
      </c>
    </row>
    <row r="350">
      <c r="A350" s="3" t="n">
        <v>44866</v>
      </c>
    </row>
    <row r="351">
      <c r="A351" s="3" t="n">
        <v>44896</v>
      </c>
    </row>
    <row r="352">
      <c r="A352" s="3" t="n">
        <v>44927</v>
      </c>
    </row>
    <row r="353">
      <c r="A353" s="3" t="n">
        <v>44958</v>
      </c>
    </row>
    <row r="354">
      <c r="A354" s="3" t="n">
        <v>44986</v>
      </c>
    </row>
    <row r="355">
      <c r="A355" s="3" t="n">
        <v>45017</v>
      </c>
    </row>
    <row r="356">
      <c r="A356" s="3" t="n">
        <v>45047</v>
      </c>
    </row>
    <row r="357">
      <c r="A357" s="3" t="n">
        <v>45078</v>
      </c>
    </row>
    <row r="358">
      <c r="A358" s="3" t="n">
        <v>45108</v>
      </c>
    </row>
    <row r="359">
      <c r="A359" s="3" t="n">
        <v>45139</v>
      </c>
    </row>
    <row r="360">
      <c r="A360" s="3" t="n">
        <v>45170</v>
      </c>
    </row>
    <row r="361">
      <c r="A361" s="3" t="n">
        <v>45200</v>
      </c>
    </row>
    <row r="362">
      <c r="A362" s="3" t="n">
        <v>45231</v>
      </c>
    </row>
    <row r="363">
      <c r="A363" s="3" t="n">
        <v>45261</v>
      </c>
    </row>
    <row r="364">
      <c r="A364" s="3" t="n">
        <v>45292</v>
      </c>
    </row>
    <row r="365">
      <c r="A365" s="3" t="n">
        <v>45323</v>
      </c>
    </row>
    <row r="366">
      <c r="A366" s="3" t="n">
        <v>45352</v>
      </c>
    </row>
    <row r="367">
      <c r="A367" s="3" t="n">
        <v>45383</v>
      </c>
    </row>
    <row r="368">
      <c r="A368" s="3" t="n">
        <v>45413</v>
      </c>
    </row>
    <row r="369">
      <c r="A369" s="3" t="n">
        <v>45444</v>
      </c>
    </row>
    <row r="370">
      <c r="A370" s="3" t="n">
        <v>45474</v>
      </c>
    </row>
    <row r="371">
      <c r="A371" s="3" t="n">
        <v>45505</v>
      </c>
    </row>
    <row r="372">
      <c r="A372" s="3" t="n">
        <v>45536</v>
      </c>
    </row>
    <row r="373">
      <c r="A373" s="3" t="n">
        <v>45566</v>
      </c>
    </row>
    <row r="374">
      <c r="A374" s="3" t="n">
        <v>45597</v>
      </c>
    </row>
    <row r="375">
      <c r="A375" s="3" t="n">
        <v>45627</v>
      </c>
    </row>
    <row r="376">
      <c r="A376" s="3" t="n">
        <v>45658</v>
      </c>
    </row>
    <row r="377">
      <c r="A377" s="3" t="n">
        <v>45689</v>
      </c>
    </row>
    <row r="378">
      <c r="A378" s="3" t="n">
        <v>45717</v>
      </c>
    </row>
    <row r="379">
      <c r="A379" s="3" t="n">
        <v>45748</v>
      </c>
    </row>
    <row r="380">
      <c r="A380" s="3" t="n">
        <v>45778</v>
      </c>
    </row>
    <row r="381">
      <c r="A381" s="3" t="n">
        <v>45809</v>
      </c>
    </row>
    <row r="382">
      <c r="A382" s="3" t="n">
        <v>45839</v>
      </c>
    </row>
    <row r="383">
      <c r="A383" s="3" t="n">
        <v>45870</v>
      </c>
    </row>
    <row r="384">
      <c r="A384" s="3" t="n">
        <v>45901</v>
      </c>
    </row>
    <row r="385">
      <c r="A385" s="3" t="n">
        <v>45931</v>
      </c>
    </row>
    <row r="386">
      <c r="A386" s="3" t="n">
        <v>45962</v>
      </c>
    </row>
    <row r="387">
      <c r="A387" s="3" t="n">
        <v>45992</v>
      </c>
    </row>
    <row r="388">
      <c r="A388" s="3" t="n">
        <v>46023</v>
      </c>
    </row>
    <row r="389">
      <c r="A389" s="3" t="n">
        <v>46054</v>
      </c>
    </row>
    <row r="390">
      <c r="A390" s="3" t="n">
        <v>46082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year</t>
        </is>
      </c>
      <c r="B1" s="1" t="inlineStr">
        <is>
          <t>bal_com_pct</t>
        </is>
      </c>
      <c r="C1" s="1" t="inlineStr">
        <is>
          <t>bal_ser_pct</t>
        </is>
      </c>
      <c r="D1" s="1" t="inlineStr">
        <is>
          <t>ing_prim_pct</t>
        </is>
      </c>
      <c r="E1" s="1" t="inlineStr">
        <is>
          <t>ing_sec_pct</t>
        </is>
      </c>
    </row>
    <row r="2" ht="42" customHeight="1">
      <c r="A2" s="2" t="inlineStr"/>
      <c r="B2" s="2">
        <f> 100*bal_com/pbi_nominal   balanza comercial</f>
        <v/>
      </c>
      <c r="C2" s="2">
        <f> 100*bal_ser/pbi_nominal   servicios</f>
        <v/>
      </c>
      <c r="D2" s="2">
        <f> 100*ing_prim/pbi_nominal  renta de factores</f>
        <v/>
      </c>
      <c r="E2" s="2">
        <f> 100*ing_sec/pbi_nominal   transferencias</f>
        <v/>
      </c>
    </row>
    <row r="3">
      <c r="A3" t="n">
        <v>1950</v>
      </c>
    </row>
    <row r="4">
      <c r="A4" t="n">
        <v>1951</v>
      </c>
    </row>
    <row r="5">
      <c r="A5" t="n">
        <v>1952</v>
      </c>
    </row>
    <row r="6">
      <c r="A6" t="n">
        <v>1953</v>
      </c>
    </row>
    <row r="7">
      <c r="A7" t="n">
        <v>1954</v>
      </c>
    </row>
    <row r="8">
      <c r="A8" t="n">
        <v>1955</v>
      </c>
    </row>
    <row r="9">
      <c r="A9" t="n">
        <v>1956</v>
      </c>
    </row>
    <row r="10">
      <c r="A10" t="n">
        <v>1957</v>
      </c>
    </row>
    <row r="11">
      <c r="A11" t="n">
        <v>1958</v>
      </c>
    </row>
    <row r="12">
      <c r="A12" t="n">
        <v>1959</v>
      </c>
    </row>
    <row r="13">
      <c r="A13" t="n">
        <v>1960</v>
      </c>
    </row>
    <row r="14">
      <c r="A14" t="n">
        <v>1961</v>
      </c>
    </row>
    <row r="15">
      <c r="A15" t="n">
        <v>1962</v>
      </c>
    </row>
    <row r="16">
      <c r="A16" t="n">
        <v>1963</v>
      </c>
    </row>
    <row r="17">
      <c r="A17" t="n">
        <v>1964</v>
      </c>
    </row>
    <row r="18">
      <c r="A18" t="n">
        <v>1965</v>
      </c>
    </row>
    <row r="19">
      <c r="A19" t="n">
        <v>1966</v>
      </c>
    </row>
    <row r="20">
      <c r="A20" t="n">
        <v>1967</v>
      </c>
    </row>
    <row r="21">
      <c r="A21" t="n">
        <v>1968</v>
      </c>
    </row>
    <row r="22">
      <c r="A22" t="n">
        <v>1969</v>
      </c>
    </row>
    <row r="23">
      <c r="A23" t="n">
        <v>1970</v>
      </c>
    </row>
    <row r="24">
      <c r="A24" t="n">
        <v>1971</v>
      </c>
    </row>
    <row r="25">
      <c r="A25" t="n">
        <v>1972</v>
      </c>
    </row>
    <row r="26">
      <c r="A26" t="n">
        <v>1973</v>
      </c>
    </row>
    <row r="27">
      <c r="A27" t="n">
        <v>1974</v>
      </c>
    </row>
    <row r="28">
      <c r="A28" t="n">
        <v>1975</v>
      </c>
    </row>
    <row r="29">
      <c r="A29" t="n">
        <v>1976</v>
      </c>
    </row>
    <row r="30">
      <c r="A30" t="n">
        <v>1977</v>
      </c>
    </row>
    <row r="31">
      <c r="A31" t="n">
        <v>1978</v>
      </c>
    </row>
    <row r="32">
      <c r="A32" t="n">
        <v>1979</v>
      </c>
    </row>
    <row r="33">
      <c r="A33" t="n">
        <v>1980</v>
      </c>
    </row>
    <row r="34">
      <c r="A34" t="n">
        <v>1981</v>
      </c>
    </row>
    <row r="35">
      <c r="A35" t="n">
        <v>1982</v>
      </c>
    </row>
    <row r="36">
      <c r="A36" t="n">
        <v>1983</v>
      </c>
    </row>
    <row r="37">
      <c r="A37" t="n">
        <v>1984</v>
      </c>
    </row>
    <row r="38">
      <c r="A38" t="n">
        <v>1985</v>
      </c>
    </row>
    <row r="39">
      <c r="A39" t="n">
        <v>1986</v>
      </c>
    </row>
    <row r="40">
      <c r="A40" t="n">
        <v>1987</v>
      </c>
    </row>
    <row r="41">
      <c r="A41" t="n">
        <v>1988</v>
      </c>
    </row>
    <row r="42">
      <c r="A42" t="n">
        <v>1989</v>
      </c>
    </row>
    <row r="43">
      <c r="A43" t="n">
        <v>1990</v>
      </c>
    </row>
    <row r="44">
      <c r="A44" t="n">
        <v>1991</v>
      </c>
    </row>
    <row r="45">
      <c r="A45" t="n">
        <v>1992</v>
      </c>
    </row>
    <row r="46">
      <c r="A46" t="n">
        <v>1993</v>
      </c>
    </row>
    <row r="47">
      <c r="A47" t="n">
        <v>1994</v>
      </c>
    </row>
    <row r="48">
      <c r="A48" t="n">
        <v>1995</v>
      </c>
    </row>
    <row r="49">
      <c r="A49" t="n">
        <v>1996</v>
      </c>
    </row>
    <row r="50">
      <c r="A50" t="n">
        <v>1997</v>
      </c>
    </row>
    <row r="51">
      <c r="A51" t="n">
        <v>1998</v>
      </c>
    </row>
    <row r="52">
      <c r="A52" t="n">
        <v>1999</v>
      </c>
    </row>
    <row r="53">
      <c r="A53" t="n">
        <v>2000</v>
      </c>
    </row>
    <row r="54">
      <c r="A54" t="n">
        <v>2001</v>
      </c>
    </row>
    <row r="55">
      <c r="A55" t="n">
        <v>2002</v>
      </c>
    </row>
    <row r="56">
      <c r="A56" t="n">
        <v>2003</v>
      </c>
    </row>
    <row r="57">
      <c r="A57" t="n">
        <v>2004</v>
      </c>
    </row>
    <row r="58">
      <c r="A58" t="n">
        <v>2005</v>
      </c>
    </row>
    <row r="59">
      <c r="A59" t="n">
        <v>2006</v>
      </c>
    </row>
    <row r="60">
      <c r="A60" t="n">
        <v>2007</v>
      </c>
    </row>
    <row r="61">
      <c r="A61" t="n">
        <v>2008</v>
      </c>
    </row>
    <row r="62">
      <c r="A62" t="n">
        <v>2009</v>
      </c>
    </row>
    <row r="63">
      <c r="A63" t="n">
        <v>2010</v>
      </c>
    </row>
    <row r="64">
      <c r="A64" t="n">
        <v>2011</v>
      </c>
    </row>
    <row r="65">
      <c r="A65" t="n">
        <v>2012</v>
      </c>
    </row>
    <row r="66">
      <c r="A66" t="n">
        <v>2013</v>
      </c>
    </row>
    <row r="67">
      <c r="A67" t="n">
        <v>2014</v>
      </c>
    </row>
    <row r="68">
      <c r="A68" t="n">
        <v>2015</v>
      </c>
    </row>
    <row r="69">
      <c r="A69" t="n">
        <v>2016</v>
      </c>
    </row>
    <row r="70">
      <c r="A70" t="n">
        <v>2017</v>
      </c>
    </row>
    <row r="71">
      <c r="A71" t="n">
        <v>2018</v>
      </c>
    </row>
    <row r="72">
      <c r="A72" t="n">
        <v>2019</v>
      </c>
    </row>
    <row r="73">
      <c r="A73" t="n">
        <v>2020</v>
      </c>
    </row>
    <row r="74">
      <c r="A74" t="n">
        <v>2021</v>
      </c>
    </row>
    <row r="75">
      <c r="A75" t="n">
        <v>2022</v>
      </c>
    </row>
    <row r="76">
      <c r="A76" t="n">
        <v>2023</v>
      </c>
    </row>
    <row r="77">
      <c r="A77" t="n">
        <v>2024</v>
      </c>
    </row>
    <row r="78">
      <c r="A78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year</t>
        </is>
      </c>
      <c r="B1" s="1" t="inlineStr">
        <is>
          <t>ingreso</t>
        </is>
      </c>
      <c r="C1" s="1" t="inlineStr">
        <is>
          <t>gasto_corr</t>
        </is>
      </c>
      <c r="D1" s="1" t="inlineStr">
        <is>
          <t>gasto_cap</t>
        </is>
      </c>
      <c r="E1" s="1" t="inlineStr">
        <is>
          <t>inter</t>
        </is>
      </c>
      <c r="F1" s="1" t="inlineStr">
        <is>
          <t>otros</t>
        </is>
      </c>
      <c r="G1" s="1" t="inlineStr">
        <is>
          <t>deuda_pub</t>
        </is>
      </c>
    </row>
    <row r="2" ht="42" customHeight="1">
      <c r="A2" s="2" t="inlineStr"/>
      <c r="B2" s="2" t="inlineStr">
        <is>
          <t>ingresos % PBI  as-is from BCRP</t>
        </is>
      </c>
      <c r="C2" s="2" t="inlineStr">
        <is>
          <t>gasto corriente % PBI  as-is from BCRP</t>
        </is>
      </c>
      <c r="D2" s="2" t="inlineStr">
        <is>
          <t>gasto de capital % PBI  as-is from BCRP</t>
        </is>
      </c>
      <c r="E2" s="2" t="inlineStr">
        <is>
          <t>intereses % PBI  as-is from BCRP</t>
        </is>
      </c>
      <c r="F2" s="2" t="inlineStr">
        <is>
          <t>otros gastos % PBI  as-is from BCRP</t>
        </is>
      </c>
      <c r="G2" s="2" t="inlineStr">
        <is>
          <t>deuda publica % PBI  [pendiente — BCRP]</t>
        </is>
      </c>
    </row>
    <row r="3">
      <c r="A3" t="n">
        <v>1970</v>
      </c>
    </row>
    <row r="4">
      <c r="A4" t="n">
        <v>1971</v>
      </c>
    </row>
    <row r="5">
      <c r="A5" t="n">
        <v>1972</v>
      </c>
    </row>
    <row r="6">
      <c r="A6" t="n">
        <v>1973</v>
      </c>
    </row>
    <row r="7">
      <c r="A7" t="n">
        <v>1974</v>
      </c>
    </row>
    <row r="8">
      <c r="A8" t="n">
        <v>1975</v>
      </c>
    </row>
    <row r="9">
      <c r="A9" t="n">
        <v>1976</v>
      </c>
    </row>
    <row r="10">
      <c r="A10" t="n">
        <v>1977</v>
      </c>
    </row>
    <row r="11">
      <c r="A11" t="n">
        <v>1978</v>
      </c>
    </row>
    <row r="12">
      <c r="A12" t="n">
        <v>1979</v>
      </c>
    </row>
    <row r="13">
      <c r="A13" t="n">
        <v>1980</v>
      </c>
    </row>
    <row r="14">
      <c r="A14" t="n">
        <v>1981</v>
      </c>
    </row>
    <row r="15">
      <c r="A15" t="n">
        <v>1982</v>
      </c>
    </row>
    <row r="16">
      <c r="A16" t="n">
        <v>1983</v>
      </c>
    </row>
    <row r="17">
      <c r="A17" t="n">
        <v>1984</v>
      </c>
    </row>
    <row r="18">
      <c r="A18" t="n">
        <v>1985</v>
      </c>
    </row>
    <row r="19">
      <c r="A19" t="n">
        <v>1986</v>
      </c>
    </row>
    <row r="20">
      <c r="A20" t="n">
        <v>1987</v>
      </c>
    </row>
    <row r="21">
      <c r="A21" t="n">
        <v>1988</v>
      </c>
    </row>
    <row r="22">
      <c r="A22" t="n">
        <v>1989</v>
      </c>
    </row>
    <row r="23">
      <c r="A23" t="n">
        <v>1990</v>
      </c>
    </row>
    <row r="24">
      <c r="A24" t="n">
        <v>1991</v>
      </c>
    </row>
    <row r="25">
      <c r="A25" t="n">
        <v>1992</v>
      </c>
    </row>
    <row r="26">
      <c r="A26" t="n">
        <v>1993</v>
      </c>
    </row>
    <row r="27">
      <c r="A27" t="n">
        <v>1994</v>
      </c>
    </row>
    <row r="28">
      <c r="A28" t="n">
        <v>1995</v>
      </c>
    </row>
    <row r="29">
      <c r="A29" t="n">
        <v>1996</v>
      </c>
    </row>
    <row r="30">
      <c r="A30" t="n">
        <v>1997</v>
      </c>
    </row>
    <row r="31">
      <c r="A31" t="n">
        <v>1998</v>
      </c>
    </row>
    <row r="32">
      <c r="A32" t="n">
        <v>1999</v>
      </c>
    </row>
    <row r="33">
      <c r="A33" t="n">
        <v>2000</v>
      </c>
    </row>
    <row r="34">
      <c r="A34" t="n">
        <v>2001</v>
      </c>
    </row>
    <row r="35">
      <c r="A35" t="n">
        <v>2002</v>
      </c>
    </row>
    <row r="36">
      <c r="A36" t="n">
        <v>2003</v>
      </c>
    </row>
    <row r="37">
      <c r="A37" t="n">
        <v>2004</v>
      </c>
    </row>
    <row r="38">
      <c r="A38" t="n">
        <v>2005</v>
      </c>
    </row>
    <row r="39">
      <c r="A39" t="n">
        <v>2006</v>
      </c>
    </row>
    <row r="40">
      <c r="A40" t="n">
        <v>2007</v>
      </c>
    </row>
    <row r="41">
      <c r="A41" t="n">
        <v>2008</v>
      </c>
    </row>
    <row r="42">
      <c r="A42" t="n">
        <v>2009</v>
      </c>
    </row>
    <row r="43">
      <c r="A43" t="n">
        <v>2010</v>
      </c>
    </row>
    <row r="44">
      <c r="A44" t="n">
        <v>2011</v>
      </c>
    </row>
    <row r="45">
      <c r="A45" t="n">
        <v>2012</v>
      </c>
    </row>
    <row r="46">
      <c r="A46" t="n">
        <v>2013</v>
      </c>
    </row>
    <row r="47">
      <c r="A47" t="n">
        <v>2014</v>
      </c>
    </row>
    <row r="48">
      <c r="A48" t="n">
        <v>2015</v>
      </c>
    </row>
    <row r="49">
      <c r="A49" t="n">
        <v>2016</v>
      </c>
    </row>
    <row r="50">
      <c r="A50" t="n">
        <v>2017</v>
      </c>
    </row>
    <row r="51">
      <c r="A51" t="n">
        <v>2018</v>
      </c>
    </row>
    <row r="52">
      <c r="A52" t="n">
        <v>2019</v>
      </c>
    </row>
    <row r="53">
      <c r="A53" t="n">
        <v>2020</v>
      </c>
    </row>
    <row r="54">
      <c r="A54" t="n">
        <v>2021</v>
      </c>
    </row>
    <row r="55">
      <c r="A55" t="n">
        <v>2022</v>
      </c>
    </row>
    <row r="56">
      <c r="A56" t="n">
        <v>2023</v>
      </c>
    </row>
    <row r="57">
      <c r="A57" t="n">
        <v>2024</v>
      </c>
    </row>
    <row r="58">
      <c r="A58" t="n">
        <v>2025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year</t>
        </is>
      </c>
      <c r="B1" s="1" t="inlineStr">
        <is>
          <t>peru</t>
        </is>
      </c>
      <c r="C1" s="1" t="inlineStr">
        <is>
          <t>chile</t>
        </is>
      </c>
      <c r="D1" s="1" t="inlineStr">
        <is>
          <t>colombia</t>
        </is>
      </c>
      <c r="E1" s="1" t="inlineStr">
        <is>
          <t>mexico</t>
        </is>
      </c>
    </row>
    <row r="2" ht="42" customHeight="1">
      <c r="A2" s="2" t="inlineStr"/>
      <c r="B2" s="2" t="inlineStr">
        <is>
          <t>LN(PBI pc USD const)  WDI: NY.GDP.PCAP.KD  [pendiente]</t>
        </is>
      </c>
      <c r="C2" s="2" t="inlineStr">
        <is>
          <t>LN(PBI pc USD const)  [pendiente]</t>
        </is>
      </c>
      <c r="D2" s="2" t="inlineStr">
        <is>
          <t>LN(PBI pc USD const)  [pendiente]</t>
        </is>
      </c>
      <c r="E2" s="2" t="inlineStr">
        <is>
          <t>LN(PBI pc USD const)  [pendiente]</t>
        </is>
      </c>
    </row>
    <row r="3">
      <c r="A3" t="n">
        <v>1960</v>
      </c>
    </row>
    <row r="4">
      <c r="A4" t="n">
        <v>1961</v>
      </c>
    </row>
    <row r="5">
      <c r="A5" t="n">
        <v>1962</v>
      </c>
    </row>
    <row r="6">
      <c r="A6" t="n">
        <v>1963</v>
      </c>
    </row>
    <row r="7">
      <c r="A7" t="n">
        <v>1964</v>
      </c>
    </row>
    <row r="8">
      <c r="A8" t="n">
        <v>1965</v>
      </c>
    </row>
    <row r="9">
      <c r="A9" t="n">
        <v>1966</v>
      </c>
    </row>
    <row r="10">
      <c r="A10" t="n">
        <v>1967</v>
      </c>
    </row>
    <row r="11">
      <c r="A11" t="n">
        <v>1968</v>
      </c>
    </row>
    <row r="12">
      <c r="A12" t="n">
        <v>1969</v>
      </c>
    </row>
    <row r="13">
      <c r="A13" t="n">
        <v>1970</v>
      </c>
    </row>
    <row r="14">
      <c r="A14" t="n">
        <v>1971</v>
      </c>
    </row>
    <row r="15">
      <c r="A15" t="n">
        <v>1972</v>
      </c>
    </row>
    <row r="16">
      <c r="A16" t="n">
        <v>1973</v>
      </c>
    </row>
    <row r="17">
      <c r="A17" t="n">
        <v>1974</v>
      </c>
    </row>
    <row r="18">
      <c r="A18" t="n">
        <v>1975</v>
      </c>
    </row>
    <row r="19">
      <c r="A19" t="n">
        <v>1976</v>
      </c>
    </row>
    <row r="20">
      <c r="A20" t="n">
        <v>1977</v>
      </c>
    </row>
    <row r="21">
      <c r="A21" t="n">
        <v>1978</v>
      </c>
    </row>
    <row r="22">
      <c r="A22" t="n">
        <v>1979</v>
      </c>
    </row>
    <row r="23">
      <c r="A23" t="n">
        <v>1980</v>
      </c>
    </row>
    <row r="24">
      <c r="A24" t="n">
        <v>1981</v>
      </c>
    </row>
    <row r="25">
      <c r="A25" t="n">
        <v>1982</v>
      </c>
    </row>
    <row r="26">
      <c r="A26" t="n">
        <v>1983</v>
      </c>
    </row>
    <row r="27">
      <c r="A27" t="n">
        <v>1984</v>
      </c>
    </row>
    <row r="28">
      <c r="A28" t="n">
        <v>1985</v>
      </c>
    </row>
    <row r="29">
      <c r="A29" t="n">
        <v>1986</v>
      </c>
    </row>
    <row r="30">
      <c r="A30" t="n">
        <v>1987</v>
      </c>
    </row>
    <row r="31">
      <c r="A31" t="n">
        <v>1988</v>
      </c>
    </row>
    <row r="32">
      <c r="A32" t="n">
        <v>1989</v>
      </c>
    </row>
    <row r="33">
      <c r="A33" t="n">
        <v>1990</v>
      </c>
    </row>
    <row r="34">
      <c r="A34" t="n">
        <v>1991</v>
      </c>
    </row>
    <row r="35">
      <c r="A35" t="n">
        <v>1992</v>
      </c>
    </row>
    <row r="36">
      <c r="A36" t="n">
        <v>1993</v>
      </c>
    </row>
    <row r="37">
      <c r="A37" t="n">
        <v>1994</v>
      </c>
    </row>
    <row r="38">
      <c r="A38" t="n">
        <v>1995</v>
      </c>
    </row>
    <row r="39">
      <c r="A39" t="n">
        <v>1996</v>
      </c>
    </row>
    <row r="40">
      <c r="A40" t="n">
        <v>1997</v>
      </c>
    </row>
    <row r="41">
      <c r="A41" t="n">
        <v>1998</v>
      </c>
    </row>
    <row r="42">
      <c r="A42" t="n">
        <v>1999</v>
      </c>
    </row>
    <row r="43">
      <c r="A43" t="n">
        <v>2000</v>
      </c>
    </row>
    <row r="44">
      <c r="A44" t="n">
        <v>2001</v>
      </c>
    </row>
    <row r="45">
      <c r="A45" t="n">
        <v>2002</v>
      </c>
    </row>
    <row r="46">
      <c r="A46" t="n">
        <v>2003</v>
      </c>
    </row>
    <row r="47">
      <c r="A47" t="n">
        <v>2004</v>
      </c>
    </row>
    <row r="48">
      <c r="A48" t="n">
        <v>2005</v>
      </c>
    </row>
    <row r="49">
      <c r="A49" t="n">
        <v>2006</v>
      </c>
    </row>
    <row r="50">
      <c r="A50" t="n">
        <v>2007</v>
      </c>
    </row>
    <row r="51">
      <c r="A51" t="n">
        <v>2008</v>
      </c>
    </row>
    <row r="52">
      <c r="A52" t="n">
        <v>2009</v>
      </c>
    </row>
    <row r="53">
      <c r="A53" t="n">
        <v>2010</v>
      </c>
    </row>
    <row r="54">
      <c r="A54" t="n">
        <v>2011</v>
      </c>
    </row>
    <row r="55">
      <c r="A55" t="n">
        <v>2012</v>
      </c>
    </row>
    <row r="56">
      <c r="A56" t="n">
        <v>2013</v>
      </c>
    </row>
    <row r="57">
      <c r="A57" t="n">
        <v>2014</v>
      </c>
    </row>
    <row r="58">
      <c r="A58" t="n">
        <v>2015</v>
      </c>
    </row>
    <row r="59">
      <c r="A59" t="n">
        <v>2016</v>
      </c>
    </row>
    <row r="60">
      <c r="A60" t="n">
        <v>2017</v>
      </c>
    </row>
    <row r="61">
      <c r="A61" t="n">
        <v>2018</v>
      </c>
    </row>
    <row r="62">
      <c r="A62" t="n">
        <v>2019</v>
      </c>
    </row>
    <row r="63">
      <c r="A63" t="n">
        <v>2020</v>
      </c>
    </row>
    <row r="64">
      <c r="A64" t="n">
        <v>2021</v>
      </c>
    </row>
    <row r="65">
      <c r="A65" t="n">
        <v>2022</v>
      </c>
    </row>
    <row r="66">
      <c r="A66" t="n">
        <v>2023</v>
      </c>
    </row>
    <row r="67">
      <c r="A67" t="n">
        <v>2024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07000"/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MACRO.XLSX — skeleton for examples/macro/peru_macro.yaml</t>
        </is>
      </c>
    </row>
    <row r="2">
      <c r="A2" s="5" t="inlineStr"/>
    </row>
    <row r="3">
      <c r="A3" s="4" t="inlineStr">
        <is>
          <t>FLUJO DE TRABAJO</t>
        </is>
      </c>
    </row>
    <row r="4">
      <c r="A4" s="5" t="inlineStr">
        <is>
          <t xml:space="preserve">  1. Pega los datos del addin BCRP en cada hoja (columna de periodo ya esta).</t>
        </is>
      </c>
    </row>
    <row r="5">
      <c r="A5" s="5" t="inlineStr">
        <is>
          <t xml:space="preserve">  2. Las columnas marcadas 'as-is' se usan directamente sin transformacion.</t>
        </is>
      </c>
    </row>
    <row r="6">
      <c r="A6" s="5" t="inlineStr">
        <is>
          <t xml:space="preserve">  3. Las columnas con formula deben calcularse en Excel antes de usar el batch.</t>
        </is>
      </c>
    </row>
    <row r="7">
      <c r="A7" s="5" t="inlineStr">
        <is>
          <t xml:space="preserve">  4. Corre:  econcharts build peru_macro.yaml</t>
        </is>
      </c>
    </row>
    <row r="8">
      <c r="A8" s="5" t="inlineStr"/>
    </row>
    <row r="9">
      <c r="A9" s="4" t="inlineStr">
        <is>
          <t>HOJAS Y RANGOS DE PERIODO</t>
        </is>
      </c>
    </row>
    <row r="10">
      <c r="A10" s="5" t="inlineStr">
        <is>
          <t xml:space="preserve">  anual   — anual 1900-2025   (columna 'year', entero)</t>
        </is>
      </c>
    </row>
    <row r="11">
      <c r="A11" s="5" t="inlineStr">
        <is>
          <t xml:space="preserve">  mensual — mensual dic-1993 a mar-2026  (columna 'month', fecha)</t>
        </is>
      </c>
    </row>
    <row r="12">
      <c r="A12" s="5" t="inlineStr">
        <is>
          <t xml:space="preserve">  bdp     — anual 1950-2025   (balanza de pagos)</t>
        </is>
      </c>
    </row>
    <row r="13">
      <c r="A13" s="5" t="inlineStr">
        <is>
          <t xml:space="preserve">  fiscal  — anual 1970-2025   (datos fiscales)</t>
        </is>
      </c>
    </row>
    <row r="14">
      <c r="A14" s="5" t="inlineStr">
        <is>
          <t xml:space="preserve">  pbi_pc  — anual 1960-2024   [pendiente datos externos, chart A]</t>
        </is>
      </c>
    </row>
    <row r="15">
      <c r="A15" s="5" t="inlineStr"/>
    </row>
    <row r="16">
      <c r="A16" s="4" t="inlineStr">
        <is>
          <t>COLUMNAS PENDIENTES (datos no disponibles en el Excel actual)</t>
        </is>
      </c>
    </row>
    <row r="17">
      <c r="A17" s="5" t="inlineStr">
        <is>
          <t xml:space="preserve">  rin       (anual)  — BCRP estadisticas anuales reservas internacionales</t>
        </is>
      </c>
    </row>
    <row r="18">
      <c r="A18" s="5" t="inlineStr">
        <is>
          <t xml:space="preserve">  deuda_pub (fiscal) — BCRP estadisticas anuales sector publico</t>
        </is>
      </c>
    </row>
    <row r="19">
      <c r="A19" s="5" t="inlineStr">
        <is>
          <t xml:space="preserve">  pbi_pc/*  (pbi_pc) — WDI NY.GDP.PCAP.KD o Maddison Project</t>
        </is>
      </c>
    </row>
    <row r="20">
      <c r="A20" s="5" t="inlineStr">
        <is>
          <t xml:space="preserve">  brecha_pbi(anual)  — requiere filtro HP (lambda=100) sobre ln(pbi)</t>
        </is>
      </c>
    </row>
    <row r="21">
      <c r="A21" s="5" t="inlineStr"/>
    </row>
    <row r="22">
      <c r="A22" s="4" t="inlineStr">
        <is>
          <t>DIFERENCIAS VS EL SCRIPT R</t>
        </is>
      </c>
    </row>
    <row r="23">
      <c r="A23" s="5" t="inlineStr">
        <is>
          <t xml:space="preserve">  TCN:       el grafico de 2 paneles (facet) se divide en tcn_nivel + tcn_dep.</t>
        </is>
      </c>
    </row>
    <row r="24">
      <c r="A24" s="5" t="inlineStr">
        <is>
          <t xml:space="preserve">  Inflacion: el grafico con eje-y recortado se reemplaza por infla_reciente (1993:2025).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2026-06-13T17:52:32Z</dcterms:created>
  <dcterms:modified xmlns:dcterms="http://purl.org/dc/terms/" xmlns:xsi="http://www.w3.org/2001/XMLSchema-instance" xsi:type="dcterms:W3CDTF">2026-06-13T17:52:32Z</dcterms:modified>
</cp:coreProperties>
</file>