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c9fe72f831ef3912/BBVA/Proyecto Econcharts/examples/macro/"/>
    </mc:Choice>
  </mc:AlternateContent>
  <xr:revisionPtr revIDLastSave="169" documentId="11_E79C5BF2C017AF4088676435F760FE3841CEBCD0" xr6:coauthVersionLast="47" xr6:coauthVersionMax="47" xr10:uidLastSave="{3FB786D6-49B6-4344-B41A-5ACF811EDE1B}"/>
  <bookViews>
    <workbookView xWindow="-110" yWindow="-110" windowWidth="38620" windowHeight="21100" xr2:uid="{00000000-000D-0000-FFFF-FFFF00000000}"/>
  </bookViews>
  <sheets>
    <sheet name="anual" sheetId="1" r:id="rId1"/>
    <sheet name="mensual" sheetId="2" r:id="rId2"/>
    <sheet name="bdp" sheetId="3" r:id="rId3"/>
    <sheet name="fiscal" sheetId="4" r:id="rId4"/>
    <sheet name="pbi_pc" sheetId="5" r:id="rId5"/>
    <sheet name="NOTAS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B4" i="4"/>
  <c r="C4" i="4"/>
  <c r="D4" i="4"/>
  <c r="E4" i="4"/>
  <c r="F4" i="4"/>
  <c r="B5" i="4"/>
  <c r="C5" i="4"/>
  <c r="D5" i="4"/>
  <c r="E5" i="4"/>
  <c r="F5" i="4"/>
  <c r="B6" i="4"/>
  <c r="C6" i="4"/>
  <c r="D6" i="4"/>
  <c r="E6" i="4"/>
  <c r="F6" i="4"/>
  <c r="B7" i="4"/>
  <c r="C7" i="4"/>
  <c r="D7" i="4"/>
  <c r="E7" i="4"/>
  <c r="F7" i="4"/>
  <c r="B8" i="4"/>
  <c r="C8" i="4"/>
  <c r="D8" i="4"/>
  <c r="E8" i="4"/>
  <c r="F8" i="4"/>
  <c r="B9" i="4"/>
  <c r="C9" i="4"/>
  <c r="D9" i="4"/>
  <c r="E9" i="4"/>
  <c r="F9" i="4"/>
  <c r="B10" i="4"/>
  <c r="C10" i="4"/>
  <c r="D10" i="4"/>
  <c r="E10" i="4"/>
  <c r="F10" i="4"/>
  <c r="B11" i="4"/>
  <c r="C11" i="4"/>
  <c r="D11" i="4"/>
  <c r="E11" i="4"/>
  <c r="F11" i="4"/>
  <c r="B12" i="4"/>
  <c r="C12" i="4"/>
  <c r="D12" i="4"/>
  <c r="E12" i="4"/>
  <c r="F12" i="4"/>
  <c r="B13" i="4"/>
  <c r="C13" i="4"/>
  <c r="D13" i="4"/>
  <c r="E13" i="4"/>
  <c r="F13" i="4"/>
  <c r="B14" i="4"/>
  <c r="C14" i="4"/>
  <c r="D14" i="4"/>
  <c r="E14" i="4"/>
  <c r="F14" i="4"/>
  <c r="B15" i="4"/>
  <c r="C15" i="4"/>
  <c r="D15" i="4"/>
  <c r="E15" i="4"/>
  <c r="F15" i="4"/>
  <c r="B16" i="4"/>
  <c r="C16" i="4"/>
  <c r="D16" i="4"/>
  <c r="E16" i="4"/>
  <c r="F16" i="4"/>
  <c r="B17" i="4"/>
  <c r="C17" i="4"/>
  <c r="D17" i="4"/>
  <c r="E17" i="4"/>
  <c r="F17" i="4"/>
  <c r="B18" i="4"/>
  <c r="C18" i="4"/>
  <c r="D18" i="4"/>
  <c r="E18" i="4"/>
  <c r="F18" i="4"/>
  <c r="B19" i="4"/>
  <c r="C19" i="4"/>
  <c r="D19" i="4"/>
  <c r="E19" i="4"/>
  <c r="F19" i="4"/>
  <c r="B20" i="4"/>
  <c r="C20" i="4"/>
  <c r="D20" i="4"/>
  <c r="E20" i="4"/>
  <c r="F20" i="4"/>
  <c r="B21" i="4"/>
  <c r="C21" i="4"/>
  <c r="D21" i="4"/>
  <c r="E21" i="4"/>
  <c r="F21" i="4"/>
  <c r="B22" i="4"/>
  <c r="C22" i="4"/>
  <c r="D22" i="4"/>
  <c r="E22" i="4"/>
  <c r="F22" i="4"/>
  <c r="B23" i="4"/>
  <c r="C23" i="4"/>
  <c r="D23" i="4"/>
  <c r="E23" i="4"/>
  <c r="F23" i="4"/>
  <c r="B24" i="4"/>
  <c r="C24" i="4"/>
  <c r="D24" i="4"/>
  <c r="E24" i="4"/>
  <c r="F24" i="4"/>
  <c r="B25" i="4"/>
  <c r="C25" i="4"/>
  <c r="D25" i="4"/>
  <c r="E25" i="4"/>
  <c r="F25" i="4"/>
  <c r="B26" i="4"/>
  <c r="C26" i="4"/>
  <c r="D26" i="4"/>
  <c r="E26" i="4"/>
  <c r="F26" i="4"/>
  <c r="B27" i="4"/>
  <c r="C27" i="4"/>
  <c r="D27" i="4"/>
  <c r="E27" i="4"/>
  <c r="F27" i="4"/>
  <c r="B28" i="4"/>
  <c r="C28" i="4"/>
  <c r="D28" i="4"/>
  <c r="E28" i="4"/>
  <c r="F28" i="4"/>
  <c r="B29" i="4"/>
  <c r="C29" i="4"/>
  <c r="D29" i="4"/>
  <c r="E29" i="4"/>
  <c r="F29" i="4"/>
  <c r="B30" i="4"/>
  <c r="C30" i="4"/>
  <c r="D30" i="4"/>
  <c r="E30" i="4"/>
  <c r="F30" i="4"/>
  <c r="B31" i="4"/>
  <c r="C31" i="4"/>
  <c r="D31" i="4"/>
  <c r="E31" i="4"/>
  <c r="F31" i="4"/>
  <c r="B32" i="4"/>
  <c r="C32" i="4"/>
  <c r="D32" i="4"/>
  <c r="E32" i="4"/>
  <c r="F32" i="4"/>
  <c r="B33" i="4"/>
  <c r="C33" i="4"/>
  <c r="D33" i="4"/>
  <c r="E33" i="4"/>
  <c r="F33" i="4"/>
  <c r="B34" i="4"/>
  <c r="C34" i="4"/>
  <c r="D34" i="4"/>
  <c r="E34" i="4"/>
  <c r="F34" i="4"/>
  <c r="B35" i="4"/>
  <c r="C35" i="4"/>
  <c r="D35" i="4"/>
  <c r="E35" i="4"/>
  <c r="F35" i="4"/>
  <c r="B36" i="4"/>
  <c r="C36" i="4"/>
  <c r="D36" i="4"/>
  <c r="E36" i="4"/>
  <c r="F36" i="4"/>
  <c r="B37" i="4"/>
  <c r="C37" i="4"/>
  <c r="D37" i="4"/>
  <c r="E37" i="4"/>
  <c r="F37" i="4"/>
  <c r="B38" i="4"/>
  <c r="C38" i="4"/>
  <c r="D38" i="4"/>
  <c r="E38" i="4"/>
  <c r="F38" i="4"/>
  <c r="B39" i="4"/>
  <c r="C39" i="4"/>
  <c r="D39" i="4"/>
  <c r="E39" i="4"/>
  <c r="F39" i="4"/>
  <c r="B40" i="4"/>
  <c r="C40" i="4"/>
  <c r="D40" i="4"/>
  <c r="E40" i="4"/>
  <c r="F40" i="4"/>
  <c r="B41" i="4"/>
  <c r="C41" i="4"/>
  <c r="D41" i="4"/>
  <c r="E41" i="4"/>
  <c r="F41" i="4"/>
  <c r="B42" i="4"/>
  <c r="C42" i="4"/>
  <c r="D42" i="4"/>
  <c r="E42" i="4"/>
  <c r="F42" i="4"/>
  <c r="B43" i="4"/>
  <c r="C43" i="4"/>
  <c r="D43" i="4"/>
  <c r="E43" i="4"/>
  <c r="F43" i="4"/>
  <c r="B44" i="4"/>
  <c r="C44" i="4"/>
  <c r="D44" i="4"/>
  <c r="E44" i="4"/>
  <c r="F44" i="4"/>
  <c r="B45" i="4"/>
  <c r="C45" i="4"/>
  <c r="D45" i="4"/>
  <c r="E45" i="4"/>
  <c r="F45" i="4"/>
  <c r="B46" i="4"/>
  <c r="C46" i="4"/>
  <c r="D46" i="4"/>
  <c r="E46" i="4"/>
  <c r="F46" i="4"/>
  <c r="B47" i="4"/>
  <c r="C47" i="4"/>
  <c r="D47" i="4"/>
  <c r="E47" i="4"/>
  <c r="F47" i="4"/>
  <c r="B48" i="4"/>
  <c r="C48" i="4"/>
  <c r="D48" i="4"/>
  <c r="E48" i="4"/>
  <c r="F48" i="4"/>
  <c r="B49" i="4"/>
  <c r="C49" i="4"/>
  <c r="D49" i="4"/>
  <c r="E49" i="4"/>
  <c r="F49" i="4"/>
  <c r="B50" i="4"/>
  <c r="C50" i="4"/>
  <c r="D50" i="4"/>
  <c r="E50" i="4"/>
  <c r="F50" i="4"/>
  <c r="B51" i="4"/>
  <c r="C51" i="4"/>
  <c r="D51" i="4"/>
  <c r="E51" i="4"/>
  <c r="F51" i="4"/>
  <c r="B52" i="4"/>
  <c r="C52" i="4"/>
  <c r="D52" i="4"/>
  <c r="E52" i="4"/>
  <c r="F52" i="4"/>
  <c r="B53" i="4"/>
  <c r="C53" i="4"/>
  <c r="D53" i="4"/>
  <c r="E53" i="4"/>
  <c r="F53" i="4"/>
  <c r="B54" i="4"/>
  <c r="C54" i="4"/>
  <c r="D54" i="4"/>
  <c r="E54" i="4"/>
  <c r="F54" i="4"/>
  <c r="B55" i="4"/>
  <c r="C55" i="4"/>
  <c r="D55" i="4"/>
  <c r="E55" i="4"/>
  <c r="F55" i="4"/>
  <c r="B56" i="4"/>
  <c r="C56" i="4"/>
  <c r="D56" i="4"/>
  <c r="E56" i="4"/>
  <c r="F56" i="4"/>
  <c r="B57" i="4"/>
  <c r="C57" i="4"/>
  <c r="D57" i="4"/>
  <c r="E57" i="4"/>
  <c r="F57" i="4"/>
  <c r="F2" i="4"/>
  <c r="E2" i="4"/>
  <c r="D2" i="4"/>
  <c r="C2" i="4"/>
  <c r="B2" i="4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2" i="3"/>
  <c r="C72" i="3"/>
  <c r="D72" i="3"/>
  <c r="E72" i="3"/>
  <c r="B73" i="3"/>
  <c r="C73" i="3"/>
  <c r="D73" i="3"/>
  <c r="E73" i="3"/>
  <c r="B74" i="3"/>
  <c r="C74" i="3"/>
  <c r="D74" i="3"/>
  <c r="E74" i="3"/>
  <c r="B75" i="3"/>
  <c r="C75" i="3"/>
  <c r="D75" i="3"/>
  <c r="E75" i="3"/>
  <c r="B76" i="3"/>
  <c r="C76" i="3"/>
  <c r="D76" i="3"/>
  <c r="E76" i="3"/>
  <c r="B77" i="3"/>
  <c r="C77" i="3"/>
  <c r="D77" i="3"/>
  <c r="E77" i="3"/>
  <c r="E2" i="3"/>
  <c r="D2" i="3"/>
  <c r="C2" i="3"/>
  <c r="B2" i="3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" i="2"/>
  <c r="B391" i="2"/>
  <c r="B390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2" i="2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72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95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3" i="1"/>
  <c r="L53" i="1"/>
  <c r="M53" i="1"/>
  <c r="N53" i="1"/>
  <c r="O53" i="1"/>
  <c r="L54" i="1"/>
  <c r="M54" i="1"/>
  <c r="N54" i="1"/>
  <c r="O54" i="1"/>
  <c r="L55" i="1"/>
  <c r="M55" i="1"/>
  <c r="N55" i="1"/>
  <c r="O55" i="1"/>
  <c r="L56" i="1"/>
  <c r="M56" i="1"/>
  <c r="N56" i="1"/>
  <c r="O56" i="1"/>
  <c r="L57" i="1"/>
  <c r="M57" i="1"/>
  <c r="N57" i="1"/>
  <c r="O57" i="1"/>
  <c r="L58" i="1"/>
  <c r="M58" i="1"/>
  <c r="N58" i="1"/>
  <c r="O58" i="1"/>
  <c r="L59" i="1"/>
  <c r="M59" i="1"/>
  <c r="N59" i="1"/>
  <c r="O59" i="1"/>
  <c r="L60" i="1"/>
  <c r="M60" i="1"/>
  <c r="N60" i="1"/>
  <c r="O60" i="1"/>
  <c r="L61" i="1"/>
  <c r="M61" i="1"/>
  <c r="N61" i="1"/>
  <c r="O61" i="1"/>
  <c r="L62" i="1"/>
  <c r="M62" i="1"/>
  <c r="N62" i="1"/>
  <c r="O62" i="1"/>
  <c r="L63" i="1"/>
  <c r="M63" i="1"/>
  <c r="N63" i="1"/>
  <c r="O63" i="1"/>
  <c r="L64" i="1"/>
  <c r="M64" i="1"/>
  <c r="N64" i="1"/>
  <c r="O64" i="1"/>
  <c r="L65" i="1"/>
  <c r="M65" i="1"/>
  <c r="N65" i="1"/>
  <c r="O65" i="1"/>
  <c r="L66" i="1"/>
  <c r="M66" i="1"/>
  <c r="N66" i="1"/>
  <c r="O66" i="1"/>
  <c r="L67" i="1"/>
  <c r="M67" i="1"/>
  <c r="N67" i="1"/>
  <c r="O67" i="1"/>
  <c r="L68" i="1"/>
  <c r="M68" i="1"/>
  <c r="N68" i="1"/>
  <c r="O68" i="1"/>
  <c r="L69" i="1"/>
  <c r="M69" i="1"/>
  <c r="N69" i="1"/>
  <c r="O69" i="1"/>
  <c r="L70" i="1"/>
  <c r="M70" i="1"/>
  <c r="N70" i="1"/>
  <c r="O70" i="1"/>
  <c r="L71" i="1"/>
  <c r="M71" i="1"/>
  <c r="N71" i="1"/>
  <c r="O71" i="1"/>
  <c r="L72" i="1"/>
  <c r="M72" i="1"/>
  <c r="N72" i="1"/>
  <c r="O72" i="1"/>
  <c r="L73" i="1"/>
  <c r="M73" i="1"/>
  <c r="N73" i="1"/>
  <c r="O73" i="1"/>
  <c r="L74" i="1"/>
  <c r="M74" i="1"/>
  <c r="N74" i="1"/>
  <c r="O74" i="1"/>
  <c r="L75" i="1"/>
  <c r="M75" i="1"/>
  <c r="N75" i="1"/>
  <c r="O75" i="1"/>
  <c r="L76" i="1"/>
  <c r="M76" i="1"/>
  <c r="N76" i="1"/>
  <c r="O76" i="1"/>
  <c r="L77" i="1"/>
  <c r="M77" i="1"/>
  <c r="N77" i="1"/>
  <c r="O77" i="1"/>
  <c r="L78" i="1"/>
  <c r="M78" i="1"/>
  <c r="N78" i="1"/>
  <c r="O78" i="1"/>
  <c r="L79" i="1"/>
  <c r="M79" i="1"/>
  <c r="N79" i="1"/>
  <c r="O79" i="1"/>
  <c r="L80" i="1"/>
  <c r="M80" i="1"/>
  <c r="N80" i="1"/>
  <c r="O80" i="1"/>
  <c r="L81" i="1"/>
  <c r="M81" i="1"/>
  <c r="N81" i="1"/>
  <c r="O81" i="1"/>
  <c r="L82" i="1"/>
  <c r="M82" i="1"/>
  <c r="N82" i="1"/>
  <c r="O82" i="1"/>
  <c r="L83" i="1"/>
  <c r="M83" i="1"/>
  <c r="N83" i="1"/>
  <c r="O83" i="1"/>
  <c r="L84" i="1"/>
  <c r="M84" i="1"/>
  <c r="N84" i="1"/>
  <c r="O84" i="1"/>
  <c r="L85" i="1"/>
  <c r="M85" i="1"/>
  <c r="N85" i="1"/>
  <c r="O85" i="1"/>
  <c r="L86" i="1"/>
  <c r="M86" i="1"/>
  <c r="N86" i="1"/>
  <c r="O86" i="1"/>
  <c r="L87" i="1"/>
  <c r="M87" i="1"/>
  <c r="N87" i="1"/>
  <c r="O87" i="1"/>
  <c r="L88" i="1"/>
  <c r="M88" i="1"/>
  <c r="N88" i="1"/>
  <c r="O88" i="1"/>
  <c r="L89" i="1"/>
  <c r="M89" i="1"/>
  <c r="N89" i="1"/>
  <c r="O89" i="1"/>
  <c r="L90" i="1"/>
  <c r="M90" i="1"/>
  <c r="N90" i="1"/>
  <c r="O90" i="1"/>
  <c r="L91" i="1"/>
  <c r="M91" i="1"/>
  <c r="N91" i="1"/>
  <c r="O91" i="1"/>
  <c r="L92" i="1"/>
  <c r="M92" i="1"/>
  <c r="N92" i="1"/>
  <c r="O92" i="1"/>
  <c r="L93" i="1"/>
  <c r="M93" i="1"/>
  <c r="N93" i="1"/>
  <c r="O93" i="1"/>
  <c r="L94" i="1"/>
  <c r="M94" i="1"/>
  <c r="N94" i="1"/>
  <c r="O94" i="1"/>
  <c r="L95" i="1"/>
  <c r="M95" i="1"/>
  <c r="N95" i="1"/>
  <c r="O95" i="1"/>
  <c r="L96" i="1"/>
  <c r="M96" i="1"/>
  <c r="N96" i="1"/>
  <c r="O96" i="1"/>
  <c r="L97" i="1"/>
  <c r="M97" i="1"/>
  <c r="N97" i="1"/>
  <c r="O97" i="1"/>
  <c r="L98" i="1"/>
  <c r="M98" i="1"/>
  <c r="N98" i="1"/>
  <c r="O98" i="1"/>
  <c r="L99" i="1"/>
  <c r="M99" i="1"/>
  <c r="N99" i="1"/>
  <c r="O99" i="1"/>
  <c r="L100" i="1"/>
  <c r="M100" i="1"/>
  <c r="N100" i="1"/>
  <c r="O100" i="1"/>
  <c r="L101" i="1"/>
  <c r="M101" i="1"/>
  <c r="N101" i="1"/>
  <c r="O101" i="1"/>
  <c r="L102" i="1"/>
  <c r="M102" i="1"/>
  <c r="N102" i="1"/>
  <c r="O102" i="1"/>
  <c r="L103" i="1"/>
  <c r="M103" i="1"/>
  <c r="N103" i="1"/>
  <c r="O103" i="1"/>
  <c r="L104" i="1"/>
  <c r="M104" i="1"/>
  <c r="N104" i="1"/>
  <c r="O104" i="1"/>
  <c r="L105" i="1"/>
  <c r="M105" i="1"/>
  <c r="N105" i="1"/>
  <c r="O105" i="1"/>
  <c r="L106" i="1"/>
  <c r="M106" i="1"/>
  <c r="N106" i="1"/>
  <c r="O106" i="1"/>
  <c r="L107" i="1"/>
  <c r="M107" i="1"/>
  <c r="N107" i="1"/>
  <c r="O107" i="1"/>
  <c r="L108" i="1"/>
  <c r="M108" i="1"/>
  <c r="N108" i="1"/>
  <c r="O108" i="1"/>
  <c r="L109" i="1"/>
  <c r="M109" i="1"/>
  <c r="N109" i="1"/>
  <c r="O109" i="1"/>
  <c r="L110" i="1"/>
  <c r="M110" i="1"/>
  <c r="N110" i="1"/>
  <c r="O110" i="1"/>
  <c r="L111" i="1"/>
  <c r="M111" i="1"/>
  <c r="N111" i="1"/>
  <c r="O111" i="1"/>
  <c r="L112" i="1"/>
  <c r="M112" i="1"/>
  <c r="N112" i="1"/>
  <c r="O112" i="1"/>
  <c r="L113" i="1"/>
  <c r="M113" i="1"/>
  <c r="N113" i="1"/>
  <c r="O113" i="1"/>
  <c r="L114" i="1"/>
  <c r="M114" i="1"/>
  <c r="N114" i="1"/>
  <c r="O114" i="1"/>
  <c r="L115" i="1"/>
  <c r="M115" i="1"/>
  <c r="N115" i="1"/>
  <c r="O115" i="1"/>
  <c r="L116" i="1"/>
  <c r="M116" i="1"/>
  <c r="N116" i="1"/>
  <c r="O116" i="1"/>
  <c r="L117" i="1"/>
  <c r="M117" i="1"/>
  <c r="N117" i="1"/>
  <c r="O117" i="1"/>
  <c r="L118" i="1"/>
  <c r="M118" i="1"/>
  <c r="N118" i="1"/>
  <c r="O118" i="1"/>
  <c r="L119" i="1"/>
  <c r="M119" i="1"/>
  <c r="N119" i="1"/>
  <c r="O119" i="1"/>
  <c r="L120" i="1"/>
  <c r="M120" i="1"/>
  <c r="N120" i="1"/>
  <c r="O120" i="1"/>
  <c r="L121" i="1"/>
  <c r="M121" i="1"/>
  <c r="N121" i="1"/>
  <c r="O121" i="1"/>
  <c r="L122" i="1"/>
  <c r="M122" i="1"/>
  <c r="N122" i="1"/>
  <c r="O122" i="1"/>
  <c r="L123" i="1"/>
  <c r="M123" i="1"/>
  <c r="N123" i="1"/>
  <c r="O123" i="1"/>
  <c r="L124" i="1"/>
  <c r="M124" i="1"/>
  <c r="N124" i="1"/>
  <c r="O124" i="1"/>
  <c r="L125" i="1"/>
  <c r="M125" i="1"/>
  <c r="N125" i="1"/>
  <c r="O125" i="1"/>
  <c r="L126" i="1"/>
  <c r="M126" i="1"/>
  <c r="N126" i="1"/>
  <c r="O126" i="1"/>
  <c r="L127" i="1"/>
  <c r="M127" i="1"/>
  <c r="N127" i="1"/>
  <c r="O127" i="1"/>
  <c r="O52" i="1"/>
  <c r="N52" i="1"/>
  <c r="M52" i="1"/>
  <c r="L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J53" i="1"/>
  <c r="I53" i="1"/>
  <c r="H53" i="1"/>
  <c r="B53" i="1"/>
  <c r="C53" i="1"/>
  <c r="D53" i="1"/>
  <c r="E53" i="1"/>
  <c r="F53" i="1"/>
  <c r="G53" i="1"/>
  <c r="B54" i="1"/>
  <c r="C54" i="1"/>
  <c r="D54" i="1"/>
  <c r="E54" i="1"/>
  <c r="F54" i="1"/>
  <c r="G54" i="1"/>
  <c r="B55" i="1"/>
  <c r="C55" i="1"/>
  <c r="D55" i="1"/>
  <c r="E55" i="1"/>
  <c r="F55" i="1"/>
  <c r="G55" i="1"/>
  <c r="B56" i="1"/>
  <c r="C56" i="1"/>
  <c r="D56" i="1"/>
  <c r="E56" i="1"/>
  <c r="F56" i="1"/>
  <c r="G56" i="1"/>
  <c r="B57" i="1"/>
  <c r="C57" i="1"/>
  <c r="D57" i="1"/>
  <c r="E57" i="1"/>
  <c r="F57" i="1"/>
  <c r="G57" i="1"/>
  <c r="B58" i="1"/>
  <c r="C58" i="1"/>
  <c r="D58" i="1"/>
  <c r="E58" i="1"/>
  <c r="F58" i="1"/>
  <c r="G58" i="1"/>
  <c r="B59" i="1"/>
  <c r="C59" i="1"/>
  <c r="D59" i="1"/>
  <c r="E59" i="1"/>
  <c r="F59" i="1"/>
  <c r="G59" i="1"/>
  <c r="B60" i="1"/>
  <c r="C60" i="1"/>
  <c r="D60" i="1"/>
  <c r="E60" i="1"/>
  <c r="F60" i="1"/>
  <c r="G60" i="1"/>
  <c r="B61" i="1"/>
  <c r="C61" i="1"/>
  <c r="D61" i="1"/>
  <c r="E61" i="1"/>
  <c r="F61" i="1"/>
  <c r="G61" i="1"/>
  <c r="B62" i="1"/>
  <c r="C62" i="1"/>
  <c r="D62" i="1"/>
  <c r="E62" i="1"/>
  <c r="F62" i="1"/>
  <c r="G62" i="1"/>
  <c r="B63" i="1"/>
  <c r="C63" i="1"/>
  <c r="D63" i="1"/>
  <c r="E63" i="1"/>
  <c r="F63" i="1"/>
  <c r="G63" i="1"/>
  <c r="B64" i="1"/>
  <c r="C64" i="1"/>
  <c r="D64" i="1"/>
  <c r="E64" i="1"/>
  <c r="F64" i="1"/>
  <c r="G64" i="1"/>
  <c r="B65" i="1"/>
  <c r="C65" i="1"/>
  <c r="D65" i="1"/>
  <c r="E65" i="1"/>
  <c r="F65" i="1"/>
  <c r="G65" i="1"/>
  <c r="B66" i="1"/>
  <c r="C66" i="1"/>
  <c r="D66" i="1"/>
  <c r="E66" i="1"/>
  <c r="F66" i="1"/>
  <c r="G66" i="1"/>
  <c r="B67" i="1"/>
  <c r="C67" i="1"/>
  <c r="D67" i="1"/>
  <c r="E67" i="1"/>
  <c r="F67" i="1"/>
  <c r="G67" i="1"/>
  <c r="B68" i="1"/>
  <c r="C68" i="1"/>
  <c r="D68" i="1"/>
  <c r="E68" i="1"/>
  <c r="F68" i="1"/>
  <c r="G68" i="1"/>
  <c r="B69" i="1"/>
  <c r="C69" i="1"/>
  <c r="D69" i="1"/>
  <c r="E69" i="1"/>
  <c r="F69" i="1"/>
  <c r="G69" i="1"/>
  <c r="B70" i="1"/>
  <c r="C70" i="1"/>
  <c r="D70" i="1"/>
  <c r="E70" i="1"/>
  <c r="F70" i="1"/>
  <c r="G70" i="1"/>
  <c r="B71" i="1"/>
  <c r="C71" i="1"/>
  <c r="D71" i="1"/>
  <c r="E71" i="1"/>
  <c r="F71" i="1"/>
  <c r="G71" i="1"/>
  <c r="B72" i="1"/>
  <c r="C72" i="1"/>
  <c r="D72" i="1"/>
  <c r="E72" i="1"/>
  <c r="F72" i="1"/>
  <c r="G72" i="1"/>
  <c r="B73" i="1"/>
  <c r="C73" i="1"/>
  <c r="D73" i="1"/>
  <c r="E73" i="1"/>
  <c r="F73" i="1"/>
  <c r="G73" i="1"/>
  <c r="B74" i="1"/>
  <c r="C74" i="1"/>
  <c r="D74" i="1"/>
  <c r="E74" i="1"/>
  <c r="F74" i="1"/>
  <c r="G74" i="1"/>
  <c r="B75" i="1"/>
  <c r="C75" i="1"/>
  <c r="D75" i="1"/>
  <c r="E75" i="1"/>
  <c r="F75" i="1"/>
  <c r="G75" i="1"/>
  <c r="B76" i="1"/>
  <c r="C76" i="1"/>
  <c r="D76" i="1"/>
  <c r="E76" i="1"/>
  <c r="F76" i="1"/>
  <c r="G76" i="1"/>
  <c r="B77" i="1"/>
  <c r="C77" i="1"/>
  <c r="D77" i="1"/>
  <c r="E77" i="1"/>
  <c r="F77" i="1"/>
  <c r="G77" i="1"/>
  <c r="B78" i="1"/>
  <c r="C78" i="1"/>
  <c r="D78" i="1"/>
  <c r="E78" i="1"/>
  <c r="F78" i="1"/>
  <c r="G78" i="1"/>
  <c r="B79" i="1"/>
  <c r="C79" i="1"/>
  <c r="D79" i="1"/>
  <c r="E79" i="1"/>
  <c r="F79" i="1"/>
  <c r="G79" i="1"/>
  <c r="B80" i="1"/>
  <c r="C80" i="1"/>
  <c r="D80" i="1"/>
  <c r="E80" i="1"/>
  <c r="F80" i="1"/>
  <c r="G80" i="1"/>
  <c r="B81" i="1"/>
  <c r="C81" i="1"/>
  <c r="D81" i="1"/>
  <c r="E81" i="1"/>
  <c r="F81" i="1"/>
  <c r="G81" i="1"/>
  <c r="B82" i="1"/>
  <c r="C82" i="1"/>
  <c r="D82" i="1"/>
  <c r="E82" i="1"/>
  <c r="F82" i="1"/>
  <c r="G82" i="1"/>
  <c r="B83" i="1"/>
  <c r="C83" i="1"/>
  <c r="D83" i="1"/>
  <c r="E83" i="1"/>
  <c r="F83" i="1"/>
  <c r="G83" i="1"/>
  <c r="B84" i="1"/>
  <c r="C84" i="1"/>
  <c r="D84" i="1"/>
  <c r="E84" i="1"/>
  <c r="F84" i="1"/>
  <c r="G84" i="1"/>
  <c r="B85" i="1"/>
  <c r="C85" i="1"/>
  <c r="D85" i="1"/>
  <c r="E85" i="1"/>
  <c r="F85" i="1"/>
  <c r="G85" i="1"/>
  <c r="B86" i="1"/>
  <c r="C86" i="1"/>
  <c r="D86" i="1"/>
  <c r="E86" i="1"/>
  <c r="F86" i="1"/>
  <c r="G86" i="1"/>
  <c r="B87" i="1"/>
  <c r="C87" i="1"/>
  <c r="D87" i="1"/>
  <c r="E87" i="1"/>
  <c r="F87" i="1"/>
  <c r="G87" i="1"/>
  <c r="B88" i="1"/>
  <c r="C88" i="1"/>
  <c r="D88" i="1"/>
  <c r="E88" i="1"/>
  <c r="F88" i="1"/>
  <c r="G88" i="1"/>
  <c r="B89" i="1"/>
  <c r="C89" i="1"/>
  <c r="D89" i="1"/>
  <c r="E89" i="1"/>
  <c r="F89" i="1"/>
  <c r="G89" i="1"/>
  <c r="B90" i="1"/>
  <c r="C90" i="1"/>
  <c r="D90" i="1"/>
  <c r="E90" i="1"/>
  <c r="F90" i="1"/>
  <c r="G90" i="1"/>
  <c r="B91" i="1"/>
  <c r="C91" i="1"/>
  <c r="D91" i="1"/>
  <c r="E91" i="1"/>
  <c r="F91" i="1"/>
  <c r="G91" i="1"/>
  <c r="B92" i="1"/>
  <c r="C92" i="1"/>
  <c r="D92" i="1"/>
  <c r="E92" i="1"/>
  <c r="F92" i="1"/>
  <c r="G92" i="1"/>
  <c r="B93" i="1"/>
  <c r="C93" i="1"/>
  <c r="D93" i="1"/>
  <c r="E93" i="1"/>
  <c r="F93" i="1"/>
  <c r="G93" i="1"/>
  <c r="B94" i="1"/>
  <c r="C94" i="1"/>
  <c r="D94" i="1"/>
  <c r="E94" i="1"/>
  <c r="F94" i="1"/>
  <c r="G94" i="1"/>
  <c r="B95" i="1"/>
  <c r="C95" i="1"/>
  <c r="D95" i="1"/>
  <c r="E95" i="1"/>
  <c r="F95" i="1"/>
  <c r="G95" i="1"/>
  <c r="B96" i="1"/>
  <c r="C96" i="1"/>
  <c r="D96" i="1"/>
  <c r="E96" i="1"/>
  <c r="F96" i="1"/>
  <c r="G96" i="1"/>
  <c r="B97" i="1"/>
  <c r="C97" i="1"/>
  <c r="D97" i="1"/>
  <c r="E97" i="1"/>
  <c r="F97" i="1"/>
  <c r="G97" i="1"/>
  <c r="B98" i="1"/>
  <c r="C98" i="1"/>
  <c r="D98" i="1"/>
  <c r="E98" i="1"/>
  <c r="F98" i="1"/>
  <c r="G98" i="1"/>
  <c r="B99" i="1"/>
  <c r="C99" i="1"/>
  <c r="D99" i="1"/>
  <c r="E99" i="1"/>
  <c r="F99" i="1"/>
  <c r="G99" i="1"/>
  <c r="B100" i="1"/>
  <c r="C100" i="1"/>
  <c r="D100" i="1"/>
  <c r="E100" i="1"/>
  <c r="F100" i="1"/>
  <c r="G100" i="1"/>
  <c r="B101" i="1"/>
  <c r="C101" i="1"/>
  <c r="D101" i="1"/>
  <c r="E101" i="1"/>
  <c r="F101" i="1"/>
  <c r="G101" i="1"/>
  <c r="B102" i="1"/>
  <c r="C102" i="1"/>
  <c r="D102" i="1"/>
  <c r="E102" i="1"/>
  <c r="F102" i="1"/>
  <c r="G102" i="1"/>
  <c r="B103" i="1"/>
  <c r="C103" i="1"/>
  <c r="D103" i="1"/>
  <c r="E103" i="1"/>
  <c r="F103" i="1"/>
  <c r="G103" i="1"/>
  <c r="B104" i="1"/>
  <c r="C104" i="1"/>
  <c r="D104" i="1"/>
  <c r="E104" i="1"/>
  <c r="F104" i="1"/>
  <c r="G104" i="1"/>
  <c r="B105" i="1"/>
  <c r="C105" i="1"/>
  <c r="D105" i="1"/>
  <c r="E105" i="1"/>
  <c r="F105" i="1"/>
  <c r="G105" i="1"/>
  <c r="B106" i="1"/>
  <c r="C106" i="1"/>
  <c r="D106" i="1"/>
  <c r="E106" i="1"/>
  <c r="F106" i="1"/>
  <c r="G106" i="1"/>
  <c r="B107" i="1"/>
  <c r="C107" i="1"/>
  <c r="D107" i="1"/>
  <c r="E107" i="1"/>
  <c r="F107" i="1"/>
  <c r="G107" i="1"/>
  <c r="B108" i="1"/>
  <c r="C108" i="1"/>
  <c r="D108" i="1"/>
  <c r="E108" i="1"/>
  <c r="F108" i="1"/>
  <c r="G108" i="1"/>
  <c r="B109" i="1"/>
  <c r="C109" i="1"/>
  <c r="D109" i="1"/>
  <c r="E109" i="1"/>
  <c r="F109" i="1"/>
  <c r="G109" i="1"/>
  <c r="B110" i="1"/>
  <c r="C110" i="1"/>
  <c r="D110" i="1"/>
  <c r="E110" i="1"/>
  <c r="F110" i="1"/>
  <c r="G110" i="1"/>
  <c r="B111" i="1"/>
  <c r="C111" i="1"/>
  <c r="D111" i="1"/>
  <c r="E111" i="1"/>
  <c r="F111" i="1"/>
  <c r="G111" i="1"/>
  <c r="B112" i="1"/>
  <c r="C112" i="1"/>
  <c r="D112" i="1"/>
  <c r="E112" i="1"/>
  <c r="F112" i="1"/>
  <c r="G112" i="1"/>
  <c r="B113" i="1"/>
  <c r="C113" i="1"/>
  <c r="D113" i="1"/>
  <c r="E113" i="1"/>
  <c r="F113" i="1"/>
  <c r="G113" i="1"/>
  <c r="B114" i="1"/>
  <c r="C114" i="1"/>
  <c r="D114" i="1"/>
  <c r="E114" i="1"/>
  <c r="F114" i="1"/>
  <c r="G114" i="1"/>
  <c r="B115" i="1"/>
  <c r="C115" i="1"/>
  <c r="D115" i="1"/>
  <c r="E115" i="1"/>
  <c r="F115" i="1"/>
  <c r="G115" i="1"/>
  <c r="B116" i="1"/>
  <c r="C116" i="1"/>
  <c r="D116" i="1"/>
  <c r="E116" i="1"/>
  <c r="F116" i="1"/>
  <c r="G116" i="1"/>
  <c r="B117" i="1"/>
  <c r="C117" i="1"/>
  <c r="D117" i="1"/>
  <c r="E117" i="1"/>
  <c r="F117" i="1"/>
  <c r="G117" i="1"/>
  <c r="B118" i="1"/>
  <c r="C118" i="1"/>
  <c r="D118" i="1"/>
  <c r="E118" i="1"/>
  <c r="F118" i="1"/>
  <c r="G118" i="1"/>
  <c r="B119" i="1"/>
  <c r="C119" i="1"/>
  <c r="D119" i="1"/>
  <c r="E119" i="1"/>
  <c r="F119" i="1"/>
  <c r="G119" i="1"/>
  <c r="B120" i="1"/>
  <c r="C120" i="1"/>
  <c r="D120" i="1"/>
  <c r="E120" i="1"/>
  <c r="F120" i="1"/>
  <c r="G120" i="1"/>
  <c r="B121" i="1"/>
  <c r="C121" i="1"/>
  <c r="D121" i="1"/>
  <c r="E121" i="1"/>
  <c r="F121" i="1"/>
  <c r="G121" i="1"/>
  <c r="B122" i="1"/>
  <c r="C122" i="1"/>
  <c r="D122" i="1"/>
  <c r="E122" i="1"/>
  <c r="F122" i="1"/>
  <c r="G122" i="1"/>
  <c r="B123" i="1"/>
  <c r="C123" i="1"/>
  <c r="D123" i="1"/>
  <c r="E123" i="1"/>
  <c r="F123" i="1"/>
  <c r="G123" i="1"/>
  <c r="B124" i="1"/>
  <c r="C124" i="1"/>
  <c r="D124" i="1"/>
  <c r="E124" i="1"/>
  <c r="F124" i="1"/>
  <c r="G124" i="1"/>
  <c r="B125" i="1"/>
  <c r="C125" i="1"/>
  <c r="D125" i="1"/>
  <c r="E125" i="1"/>
  <c r="F125" i="1"/>
  <c r="G125" i="1"/>
  <c r="B126" i="1"/>
  <c r="C126" i="1"/>
  <c r="D126" i="1"/>
  <c r="E126" i="1"/>
  <c r="F126" i="1"/>
  <c r="G126" i="1"/>
  <c r="B127" i="1"/>
  <c r="C127" i="1"/>
  <c r="D127" i="1"/>
  <c r="E127" i="1"/>
  <c r="F127" i="1"/>
  <c r="G127" i="1"/>
  <c r="G52" i="1"/>
  <c r="F52" i="1"/>
  <c r="E52" i="1"/>
  <c r="D52" i="1"/>
  <c r="C52" i="1"/>
  <c r="B5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econcharts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period column (do not edit)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pbi / 1000  (miles de millones S/ 2007)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cons_priv / 1000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inv_bruta_fija_priv / 1000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LN(pbi)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LN(cons_priv)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LN(inv_bruta_fija_priv)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100*(pbi/pbi_prev - 1)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100*(cons_priv/cons_priv_prev - 1)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100*(inv_bruta_fija_priv/inv_prev - 1)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100*(ti/ti_prev - 1)  [terms of trade]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100 * cons_priv / pbi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100 * inv_bruta_fija_priv / pbi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100 * (cons_pub + inv_bruta_fija_pub) / pbi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100 * (export - import) / pbi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as-is from BCRP  (% anual)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=IF(inflacion&lt;=50, inflacion, "")  early history; blank once inflation &gt; 50%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=IF(year&gt;=1993, inflacion, "")     modern era (1993 onwards)</t>
        </r>
      </text>
    </comment>
    <comment ref="S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as-is from BCRP  (% PBI; deficit = positive value)</t>
        </r>
      </text>
    </comment>
    <comment ref="T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RIN miles de millones USD  [PENDIENTE — BCRP estadisticas anuales]</t>
        </r>
      </text>
    </comment>
    <comment ref="U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100*(LN(pbi) - HP_trend)  lambda=100  [PENDIENTE]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econcharts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period column (do not edit)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as-is from BCRP  (soles por USD)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100*(tcn / tcn_mes_anterior - 1)  depreciacion mensual 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econcharts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period column (do not edit)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100 * bal_com  / pbi_nominal   (balanza comercial % PBI)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100 * bal_ser  / pbi_nominal   (servicios % PBI)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100 * ing_prim / pbi_nominal   (renta de factores % PBI)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100 * ing_sec  / pbi_nominal   (transferencias % PBI)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econcharts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period column (do not edit)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ingresos del gobierno % PBI  (as-is from BCRP)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gasto corriente % PBI  (as-is from BCRP)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gasto de capital % PBI  (as-is from BCRP)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intereses % PBI  (as-is from BCRP)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otros gastos % PBI  (as-is from BCRP)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deuda publica % PBI  [PENDIENTE — BCRP estadisticas anuales]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econcharts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period column (do not edit)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LN(PBI per capita USD constante)  WDI: NY.GDP.PCAP.KD  [PENDIENTE]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LN(PBI per capita USD constante)  [PENDIENTE]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LN(PBI per capita USD constante)  [PENDIENTE]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LN(PBI per capita USD constante)  [PENDIENTE]</t>
        </r>
      </text>
    </comment>
  </commentList>
</comments>
</file>

<file path=xl/sharedStrings.xml><?xml version="1.0" encoding="utf-8"?>
<sst xmlns="http://schemas.openxmlformats.org/spreadsheetml/2006/main" count="64" uniqueCount="61">
  <si>
    <t>year</t>
  </si>
  <si>
    <t>pbi_bn</t>
  </si>
  <si>
    <t>cons_priv_bn</t>
  </si>
  <si>
    <t>inv_priv_bn</t>
  </si>
  <si>
    <t>log_pbi</t>
  </si>
  <si>
    <t>log_cons_priv</t>
  </si>
  <si>
    <t>log_inv_priv</t>
  </si>
  <si>
    <t>pbi_g</t>
  </si>
  <si>
    <t>cons_priv_g</t>
  </si>
  <si>
    <t>inv_priv_g</t>
  </si>
  <si>
    <t>ti_g</t>
  </si>
  <si>
    <t>cons_priv_pct</t>
  </si>
  <si>
    <t>inv_priv_pct</t>
  </si>
  <si>
    <t>gasto_pub_pct</t>
  </si>
  <si>
    <t>balanza_c_pct</t>
  </si>
  <si>
    <t>inflacion</t>
  </si>
  <si>
    <t>inflacion_pre</t>
  </si>
  <si>
    <t>inflacion_post</t>
  </si>
  <si>
    <t>def_fiscal</t>
  </si>
  <si>
    <t>rin</t>
  </si>
  <si>
    <t>brecha_pbi</t>
  </si>
  <si>
    <t>month</t>
  </si>
  <si>
    <t>tcn</t>
  </si>
  <si>
    <t>tcn_var</t>
  </si>
  <si>
    <t>bal_com_pct</t>
  </si>
  <si>
    <t>bal_ser_pct</t>
  </si>
  <si>
    <t>ing_prim_pct</t>
  </si>
  <si>
    <t>ing_sec_pct</t>
  </si>
  <si>
    <t>ingreso</t>
  </si>
  <si>
    <t>gasto_corr</t>
  </si>
  <si>
    <t>gasto_cap</t>
  </si>
  <si>
    <t>inter</t>
  </si>
  <si>
    <t>otros</t>
  </si>
  <si>
    <t>deuda_pub</t>
  </si>
  <si>
    <t>peru</t>
  </si>
  <si>
    <t>chile</t>
  </si>
  <si>
    <t>colombia</t>
  </si>
  <si>
    <t>mexico</t>
  </si>
  <si>
    <t>MACRO.XLSX — skeleton for examples/macro/peru_macro.yaml</t>
  </si>
  <si>
    <t>FLUJO DE TRABAJO</t>
  </si>
  <si>
    <t xml:space="preserve">  1. Pega los datos del addin BCRP en cada hoja (la columna de periodo ya esta pre-llenada).</t>
  </si>
  <si>
    <t xml:space="preserve">  2. Las columnas marcadas 'as-is' se usan directamente sin transformacion.</t>
  </si>
  <si>
    <t xml:space="preserve">  3. Las columnas con formula se calculan en Excel antes de correr el batch.</t>
  </si>
  <si>
    <t xml:space="preserve">     Pasa el cursor sobre cada encabezado de columna para ver la formula.</t>
  </si>
  <si>
    <t xml:space="preserve">  4. Corre:  econcharts build peru_macro.yaml</t>
  </si>
  <si>
    <t>HOJAS Y RANGOS DE PERIODO</t>
  </si>
  <si>
    <t xml:space="preserve">  anual   — anual 1900-2025   (columna 'year', entero)</t>
  </si>
  <si>
    <t xml:space="preserve">  mensual — mensual dic-1993 a mar-2026  (columna 'month', fecha YYYY-MM-DD)</t>
  </si>
  <si>
    <t xml:space="preserve">  bdp     — anual 1950-2025   (balanza de pagos corriente)</t>
  </si>
  <si>
    <t xml:space="preserve">  fiscal  — anual 1970-2025   (datos fiscales)</t>
  </si>
  <si>
    <t xml:space="preserve">  pbi_pc  — anual 1960-2024   [pendiente datos externos — chart A]</t>
  </si>
  <si>
    <t>COLUMNAS PENDIENTES (datos no disponibles en el Excel actual)</t>
  </si>
  <si>
    <t xml:space="preserve">  rin       (anual)   — BCRP estadisticas anuales / reservas internacionales</t>
  </si>
  <si>
    <t xml:space="preserve">  deuda_pub (fiscal)  — BCRP estadisticas anuales / sector publico</t>
  </si>
  <si>
    <t xml:space="preserve">  pbi_pc/* (pbi_pc)   — WDI indicador NY.GDP.PCAP.KD  o  Maddison Project</t>
  </si>
  <si>
    <t xml:space="preserve">  brecha_pbi (anual)  — requiere filtro HP (lambda=100) sobre LN(pbi)</t>
  </si>
  <si>
    <t>DIFERENCIAS VS EL SCRIPT R</t>
  </si>
  <si>
    <t xml:space="preserve">  Graph 10 (TCN): el grafico de 2 paneles (facet_wrap) se divide en</t>
  </si>
  <si>
    <t xml:space="preserve">    tcn_nivel + tcn_dep — econcharts no tiene facets aun.</t>
  </si>
  <si>
    <t xml:space="preserve">  Graph 6 (inflacion recortada): infla_reciente usa dos series azules (inflacion_pre +</t>
  </si>
  <si>
    <t xml:space="preserve">    inflacion_post) para dejar un hueco visible durante la hiperinflacion.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</si>
</sst>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8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name val="Calibri"/>
    </font>
    <font>
      <sz val="9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A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2" fillId="0" borderId="0" xfId="0" applyFont="1"/>
    <xf numFmtId="0" fontId="3" fillId="0" borderId="0" xfId="0" applyFont="1"/>
    <xf numFmtId="2" fontId="0" fillId="0" borderId="0" xfId="0" applyNumberFormat="1"/>
    <xf numFmtId="168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eaching/Macro%20-%20Introducci&#243;n%20-%20Resumen%20hist&#243;rico%20Per&#250;/Base%202007/connecting%20with%20BCRP%20addin.xlsx" TargetMode="External"/><Relationship Id="rId2" Type="http://schemas.openxmlformats.org/officeDocument/2006/relationships/externalLinkPath" Target="https://d.docs.live.net/c9fe72f831ef3912/Teaching/Macro%20-%20Introducci&#243;n%20-%20Resumen%20hist&#243;rico%20Per&#250;/Base%202007/connecting%20with%20BCRP%20addin.xlsx" TargetMode="External"/><Relationship Id="rId1" Type="http://schemas.openxmlformats.org/officeDocument/2006/relationships/externalLinkPath" Target="/c9fe72f831ef3912/Teaching/Macro%20-%20Introducci&#243;n%20-%20Resumen%20hist&#243;rico%20Per&#250;/Base%202007/connecting%20with%20BCRP%20add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CRP"/>
      <sheetName val="mensual"/>
      <sheetName val="trimestral"/>
      <sheetName val="anual"/>
      <sheetName val="bdp"/>
      <sheetName val="fiscal"/>
      <sheetName val="gretl"/>
    </sheetNames>
    <sheetDataSet>
      <sheetData sheetId="0"/>
      <sheetData sheetId="1">
        <row r="38">
          <cell r="E38">
            <v>2.1631818181818199</v>
          </cell>
        </row>
        <row r="39">
          <cell r="E39">
            <v>2.1752380952380999</v>
          </cell>
        </row>
        <row r="40">
          <cell r="E40">
            <v>2.177</v>
          </cell>
        </row>
        <row r="41">
          <cell r="E41">
            <v>2.1731818181818201</v>
          </cell>
        </row>
        <row r="42">
          <cell r="E42">
            <v>2.1815000000000002</v>
          </cell>
        </row>
        <row r="43">
          <cell r="E43">
            <v>2.1886363636363599</v>
          </cell>
        </row>
        <row r="44">
          <cell r="E44">
            <v>2.1904761904761898</v>
          </cell>
        </row>
        <row r="45">
          <cell r="E45">
            <v>2.2000000000000002</v>
          </cell>
        </row>
        <row r="46">
          <cell r="E46">
            <v>2.2331818181818202</v>
          </cell>
        </row>
        <row r="47">
          <cell r="E47">
            <v>2.2590909090909101</v>
          </cell>
        </row>
        <row r="48">
          <cell r="E48">
            <v>2.2376190476190501</v>
          </cell>
        </row>
        <row r="49">
          <cell r="E49">
            <v>2.19619047619048</v>
          </cell>
        </row>
        <row r="50">
          <cell r="E50">
            <v>2.1447619047619</v>
          </cell>
        </row>
        <row r="51">
          <cell r="E51">
            <v>2.1940909090909102</v>
          </cell>
        </row>
        <row r="52">
          <cell r="E52">
            <v>2.2164999999999999</v>
          </cell>
        </row>
        <row r="53">
          <cell r="E53">
            <v>2.2582608695652202</v>
          </cell>
        </row>
        <row r="54">
          <cell r="E54">
            <v>2.2627777777777802</v>
          </cell>
        </row>
        <row r="55">
          <cell r="E55">
            <v>2.2536363636363599</v>
          </cell>
        </row>
        <row r="56">
          <cell r="E56">
            <v>2.2466666666666701</v>
          </cell>
        </row>
        <row r="57">
          <cell r="E57">
            <v>2.2349999999999999</v>
          </cell>
        </row>
        <row r="58">
          <cell r="E58">
            <v>2.2436363636363601</v>
          </cell>
        </row>
        <row r="59">
          <cell r="E59">
            <v>2.2504761904761899</v>
          </cell>
        </row>
        <row r="60">
          <cell r="E60">
            <v>2.2610909090909099</v>
          </cell>
        </row>
        <row r="61">
          <cell r="E61">
            <v>2.31838095238095</v>
          </cell>
        </row>
        <row r="62">
          <cell r="E62">
            <v>2.32926315789474</v>
          </cell>
        </row>
        <row r="63">
          <cell r="E63">
            <v>2.35427272727273</v>
          </cell>
        </row>
        <row r="64">
          <cell r="E64">
            <v>2.3589047619047601</v>
          </cell>
        </row>
        <row r="65">
          <cell r="E65">
            <v>2.35980952380952</v>
          </cell>
        </row>
        <row r="66">
          <cell r="E66">
            <v>2.3684500000000002</v>
          </cell>
        </row>
        <row r="67">
          <cell r="E67">
            <v>2.4139545454545499</v>
          </cell>
        </row>
        <row r="68">
          <cell r="E68">
            <v>2.44475</v>
          </cell>
        </row>
        <row r="69">
          <cell r="E69">
            <v>2.4491818181818199</v>
          </cell>
        </row>
        <row r="70">
          <cell r="E70">
            <v>2.4702857142857102</v>
          </cell>
        </row>
        <row r="71">
          <cell r="E71">
            <v>2.4957619047619102</v>
          </cell>
        </row>
        <row r="72">
          <cell r="E72">
            <v>2.56</v>
          </cell>
        </row>
        <row r="73">
          <cell r="E73">
            <v>2.5886</v>
          </cell>
        </row>
        <row r="74">
          <cell r="E74">
            <v>2.5875238095238098</v>
          </cell>
        </row>
        <row r="75">
          <cell r="E75">
            <v>2.6298636363636398</v>
          </cell>
        </row>
        <row r="76">
          <cell r="E76">
            <v>2.6424500000000002</v>
          </cell>
        </row>
        <row r="77">
          <cell r="E77">
            <v>2.6371578947368399</v>
          </cell>
        </row>
        <row r="78">
          <cell r="E78">
            <v>2.6652272727272699</v>
          </cell>
        </row>
        <row r="79">
          <cell r="E79">
            <v>2.6672857142857098</v>
          </cell>
        </row>
        <row r="80">
          <cell r="E80">
            <v>2.65880952380952</v>
          </cell>
        </row>
        <row r="81">
          <cell r="E81">
            <v>2.65452380952381</v>
          </cell>
        </row>
        <row r="82">
          <cell r="E82">
            <v>2.65647619047619</v>
          </cell>
        </row>
        <row r="83">
          <cell r="E83">
            <v>2.6471363636363598</v>
          </cell>
        </row>
        <row r="84">
          <cell r="E84">
            <v>2.6657272727272701</v>
          </cell>
        </row>
        <row r="85">
          <cell r="E85">
            <v>2.7231999999999998</v>
          </cell>
        </row>
        <row r="86">
          <cell r="E86">
            <v>2.72</v>
          </cell>
        </row>
        <row r="87">
          <cell r="E87">
            <v>2.7467142857142899</v>
          </cell>
        </row>
        <row r="88">
          <cell r="E88">
            <v>2.80145</v>
          </cell>
        </row>
        <row r="89">
          <cell r="E89">
            <v>2.8085909090909098</v>
          </cell>
        </row>
        <row r="90">
          <cell r="E90">
            <v>2.8220000000000001</v>
          </cell>
        </row>
        <row r="91">
          <cell r="E91">
            <v>2.8456000000000001</v>
          </cell>
        </row>
        <row r="92">
          <cell r="E92">
            <v>2.90880952380952</v>
          </cell>
        </row>
        <row r="93">
          <cell r="E93">
            <v>2.9223809523809501</v>
          </cell>
        </row>
        <row r="94">
          <cell r="E94">
            <v>2.96390476190476</v>
          </cell>
        </row>
        <row r="95">
          <cell r="E95">
            <v>3.0450454545454502</v>
          </cell>
        </row>
        <row r="96">
          <cell r="E96">
            <v>3.0528</v>
          </cell>
        </row>
        <row r="97">
          <cell r="E97">
            <v>3.0962380952380899</v>
          </cell>
        </row>
        <row r="98">
          <cell r="E98">
            <v>3.13904761904762</v>
          </cell>
        </row>
        <row r="99">
          <cell r="E99">
            <v>3.254</v>
          </cell>
        </row>
        <row r="100">
          <cell r="E100">
            <v>3.3984999999999999</v>
          </cell>
        </row>
        <row r="101">
          <cell r="E101">
            <v>3.3817826086956502</v>
          </cell>
        </row>
        <row r="102">
          <cell r="E102">
            <v>3.3516499999999998</v>
          </cell>
        </row>
        <row r="103">
          <cell r="E103">
            <v>3.33368181818182</v>
          </cell>
        </row>
        <row r="104">
          <cell r="E104">
            <v>3.34033333333333</v>
          </cell>
        </row>
        <row r="105">
          <cell r="E105">
            <v>3.3252000000000002</v>
          </cell>
        </row>
        <row r="106">
          <cell r="E106">
            <v>3.3643809523809498</v>
          </cell>
        </row>
        <row r="107">
          <cell r="E107">
            <v>3.4206818181818202</v>
          </cell>
        </row>
        <row r="108">
          <cell r="E108">
            <v>3.4742500000000001</v>
          </cell>
        </row>
        <row r="109">
          <cell r="E109">
            <v>3.4836190476190501</v>
          </cell>
        </row>
        <row r="110">
          <cell r="E110">
            <v>3.4858636363636402</v>
          </cell>
        </row>
        <row r="111">
          <cell r="E111">
            <v>3.5015714285714301</v>
          </cell>
        </row>
        <row r="112">
          <cell r="E112">
            <v>3.4577142857142902</v>
          </cell>
        </row>
        <row r="113">
          <cell r="E113">
            <v>3.4449130434782602</v>
          </cell>
        </row>
        <row r="114">
          <cell r="E114">
            <v>3.4807222222222198</v>
          </cell>
        </row>
        <row r="115">
          <cell r="E115">
            <v>3.5051363636363599</v>
          </cell>
        </row>
        <row r="116">
          <cell r="E116">
            <v>3.4887142857142899</v>
          </cell>
        </row>
        <row r="117">
          <cell r="E117">
            <v>3.4819499999999999</v>
          </cell>
        </row>
        <row r="118">
          <cell r="E118">
            <v>3.4790454545454601</v>
          </cell>
        </row>
        <row r="119">
          <cell r="E119">
            <v>3.4862380952380998</v>
          </cell>
        </row>
        <row r="120">
          <cell r="E120">
            <v>3.5017727272727299</v>
          </cell>
        </row>
        <row r="121">
          <cell r="E121">
            <v>3.5299047619047599</v>
          </cell>
        </row>
        <row r="122">
          <cell r="E122">
            <v>3.5211052631578901</v>
          </cell>
        </row>
        <row r="123">
          <cell r="E123">
            <v>3.52404545454546</v>
          </cell>
        </row>
        <row r="124">
          <cell r="E124">
            <v>3.52955</v>
          </cell>
        </row>
        <row r="125">
          <cell r="E125">
            <v>3.5208181818181798</v>
          </cell>
        </row>
        <row r="126">
          <cell r="E126">
            <v>3.5603684210526301</v>
          </cell>
        </row>
        <row r="127">
          <cell r="E127">
            <v>3.6016363636363602</v>
          </cell>
        </row>
        <row r="128">
          <cell r="E128">
            <v>3.5329649999999999</v>
          </cell>
        </row>
        <row r="129">
          <cell r="E129">
            <v>3.5049523809523802</v>
          </cell>
        </row>
        <row r="130">
          <cell r="E130">
            <v>3.4932799999999999</v>
          </cell>
        </row>
        <row r="131">
          <cell r="E131">
            <v>3.4911500000000002</v>
          </cell>
        </row>
        <row r="132">
          <cell r="E132">
            <v>3.4614090909090902</v>
          </cell>
        </row>
        <row r="133">
          <cell r="E133">
            <v>3.4407000000000001</v>
          </cell>
        </row>
        <row r="134">
          <cell r="E134">
            <v>3.4365749999999999</v>
          </cell>
        </row>
        <row r="135">
          <cell r="E135">
            <v>3.4609999999999999</v>
          </cell>
        </row>
        <row r="136">
          <cell r="E136">
            <v>3.4777</v>
          </cell>
        </row>
        <row r="137">
          <cell r="E137">
            <v>3.45705263157895</v>
          </cell>
        </row>
        <row r="138">
          <cell r="E138">
            <v>3.4397272727272701</v>
          </cell>
        </row>
        <row r="139">
          <cell r="E139">
            <v>3.4525454545454499</v>
          </cell>
        </row>
        <row r="140">
          <cell r="E140">
            <v>3.4818947368420998</v>
          </cell>
        </row>
        <row r="141">
          <cell r="E141">
            <v>3.53457142857143</v>
          </cell>
        </row>
        <row r="142">
          <cell r="E142">
            <v>3.57123809523809</v>
          </cell>
        </row>
        <row r="143">
          <cell r="E143">
            <v>3.6201428571428602</v>
          </cell>
        </row>
        <row r="144">
          <cell r="E144">
            <v>3.6164190476190501</v>
          </cell>
        </row>
        <row r="145">
          <cell r="E145">
            <v>3.5843500000000001</v>
          </cell>
        </row>
        <row r="146">
          <cell r="E146">
            <v>3.5152857142857101</v>
          </cell>
        </row>
        <row r="147">
          <cell r="E147">
            <v>3.4947727272727298</v>
          </cell>
        </row>
        <row r="148">
          <cell r="E148">
            <v>3.4847000000000001</v>
          </cell>
        </row>
        <row r="149">
          <cell r="E149">
            <v>3.48003333333333</v>
          </cell>
        </row>
        <row r="150">
          <cell r="E150">
            <v>3.4654500000000001</v>
          </cell>
        </row>
        <row r="151">
          <cell r="E151">
            <v>3.4820000000000002</v>
          </cell>
        </row>
        <row r="152">
          <cell r="E152">
            <v>3.4795714285714299</v>
          </cell>
        </row>
        <row r="153">
          <cell r="E153">
            <v>3.472</v>
          </cell>
        </row>
        <row r="154">
          <cell r="E154">
            <v>3.4809047619047599</v>
          </cell>
        </row>
        <row r="155">
          <cell r="E155">
            <v>3.4815909090909098</v>
          </cell>
        </row>
        <row r="156">
          <cell r="E156">
            <v>3.4788636363636298</v>
          </cell>
        </row>
        <row r="157">
          <cell r="E157">
            <v>3.47845</v>
          </cell>
        </row>
        <row r="158">
          <cell r="E158">
            <v>3.4721428571428601</v>
          </cell>
        </row>
        <row r="159">
          <cell r="E159">
            <v>3.46771428571429</v>
          </cell>
        </row>
        <row r="160">
          <cell r="E160">
            <v>3.4841500000000001</v>
          </cell>
        </row>
        <row r="161">
          <cell r="E161">
            <v>3.4659130434782601</v>
          </cell>
        </row>
        <row r="162">
          <cell r="E162">
            <v>3.4702999999999999</v>
          </cell>
        </row>
        <row r="163">
          <cell r="E163">
            <v>3.4880476190476202</v>
          </cell>
        </row>
        <row r="164">
          <cell r="E164">
            <v>3.4778571428571401</v>
          </cell>
        </row>
        <row r="165">
          <cell r="E165">
            <v>3.4422000000000001</v>
          </cell>
        </row>
        <row r="166">
          <cell r="E166">
            <v>3.3962857142857201</v>
          </cell>
        </row>
        <row r="167">
          <cell r="E167">
            <v>3.35840909090909</v>
          </cell>
        </row>
        <row r="168">
          <cell r="E168">
            <v>3.3220499999999999</v>
          </cell>
        </row>
        <row r="169">
          <cell r="E169">
            <v>3.3110952380952399</v>
          </cell>
        </row>
        <row r="170">
          <cell r="E170">
            <v>3.28181818181818</v>
          </cell>
        </row>
        <row r="171">
          <cell r="E171">
            <v>3.2690952380952401</v>
          </cell>
        </row>
        <row r="172">
          <cell r="E172">
            <v>3.2596500000000002</v>
          </cell>
        </row>
        <row r="173">
          <cell r="E173">
            <v>3.2602380952380998</v>
          </cell>
        </row>
        <row r="174">
          <cell r="E174">
            <v>3.2588499999999998</v>
          </cell>
        </row>
        <row r="175">
          <cell r="E175">
            <v>3.25576190476191</v>
          </cell>
        </row>
        <row r="176">
          <cell r="E176">
            <v>3.25338095238095</v>
          </cell>
        </row>
        <row r="177">
          <cell r="E177">
            <v>3.25278947368421</v>
          </cell>
        </row>
        <row r="178">
          <cell r="E178">
            <v>3.2579090909090902</v>
          </cell>
        </row>
        <row r="179">
          <cell r="E179">
            <v>3.3084090909090902</v>
          </cell>
        </row>
        <row r="180">
          <cell r="E180">
            <v>3.3819047619047602</v>
          </cell>
        </row>
        <row r="181">
          <cell r="E181">
            <v>3.3769999999999998</v>
          </cell>
        </row>
        <row r="182">
          <cell r="E182">
            <v>3.4252857142857098</v>
          </cell>
        </row>
        <row r="183">
          <cell r="E183">
            <v>3.39427272727273</v>
          </cell>
        </row>
        <row r="184">
          <cell r="E184">
            <v>3.2896000000000001</v>
          </cell>
        </row>
        <row r="185">
          <cell r="E185">
            <v>3.3402608695652201</v>
          </cell>
        </row>
        <row r="186">
          <cell r="E186">
            <v>3.3322777777777799</v>
          </cell>
        </row>
        <row r="187">
          <cell r="E187">
            <v>3.2799681818181798</v>
          </cell>
        </row>
        <row r="188">
          <cell r="E188">
            <v>3.2646476190476199</v>
          </cell>
        </row>
        <row r="189">
          <cell r="E189">
            <v>3.2437</v>
          </cell>
        </row>
        <row r="190">
          <cell r="E190">
            <v>3.2350454545454501</v>
          </cell>
        </row>
        <row r="191">
          <cell r="E191">
            <v>3.2484285714285699</v>
          </cell>
        </row>
        <row r="192">
          <cell r="E192">
            <v>3.2380454545454498</v>
          </cell>
        </row>
        <row r="193">
          <cell r="E193">
            <v>3.2225714285714302</v>
          </cell>
        </row>
        <row r="194">
          <cell r="E194">
            <v>3.206</v>
          </cell>
        </row>
        <row r="195">
          <cell r="E195">
            <v>3.1930454545454601</v>
          </cell>
        </row>
        <row r="196">
          <cell r="E196">
            <v>3.19075</v>
          </cell>
        </row>
        <row r="197">
          <cell r="E197">
            <v>3.18618181818182</v>
          </cell>
        </row>
        <row r="198">
          <cell r="E198">
            <v>3.17868421052632</v>
          </cell>
        </row>
        <row r="199">
          <cell r="E199">
            <v>3.1680454545454499</v>
          </cell>
        </row>
        <row r="200">
          <cell r="E200">
            <v>3.1706500000000002</v>
          </cell>
        </row>
        <row r="201">
          <cell r="E201">
            <v>3.1614090909090899</v>
          </cell>
        </row>
        <row r="202">
          <cell r="E202">
            <v>3.15877272727273</v>
          </cell>
        </row>
        <row r="203">
          <cell r="E203">
            <v>3.13645</v>
          </cell>
        </row>
        <row r="204">
          <cell r="E204">
            <v>3.0203181818181801</v>
          </cell>
        </row>
        <row r="205">
          <cell r="E205">
            <v>3.0016190476190499</v>
          </cell>
        </row>
        <row r="206">
          <cell r="E206">
            <v>2.9815999999999998</v>
          </cell>
        </row>
        <row r="207">
          <cell r="E207">
            <v>2.9510000000000001</v>
          </cell>
        </row>
        <row r="208">
          <cell r="E208">
            <v>2.9062857142857101</v>
          </cell>
        </row>
        <row r="209">
          <cell r="E209">
            <v>2.8118947368421101</v>
          </cell>
        </row>
        <row r="210">
          <cell r="E210">
            <v>2.74945454545455</v>
          </cell>
        </row>
        <row r="211">
          <cell r="E211">
            <v>2.8053684210526302</v>
          </cell>
        </row>
        <row r="212">
          <cell r="E212">
            <v>2.8928571428571401</v>
          </cell>
        </row>
        <row r="213">
          <cell r="E213">
            <v>2.8492380952380998</v>
          </cell>
        </row>
        <row r="214">
          <cell r="E214">
            <v>2.8934285714285699</v>
          </cell>
        </row>
        <row r="215">
          <cell r="E215">
            <v>2.9667727272727298</v>
          </cell>
        </row>
        <row r="216">
          <cell r="E216">
            <v>3.07713636363636</v>
          </cell>
        </row>
        <row r="217">
          <cell r="E217">
            <v>3.09283333333333</v>
          </cell>
        </row>
        <row r="218">
          <cell r="E218">
            <v>3.1147499999999999</v>
          </cell>
        </row>
        <row r="219">
          <cell r="E219">
            <v>3.1517499999999998</v>
          </cell>
        </row>
        <row r="220">
          <cell r="E220">
            <v>3.23685</v>
          </cell>
        </row>
        <row r="221">
          <cell r="E221">
            <v>3.1754090909090902</v>
          </cell>
        </row>
        <row r="222">
          <cell r="E222">
            <v>3.08575</v>
          </cell>
        </row>
        <row r="223">
          <cell r="E223">
            <v>2.9944000000000002</v>
          </cell>
        </row>
        <row r="224">
          <cell r="E224">
            <v>2.9910000000000001</v>
          </cell>
        </row>
        <row r="225">
          <cell r="E225">
            <v>3.01315</v>
          </cell>
        </row>
        <row r="226">
          <cell r="E226">
            <v>2.9512380952381001</v>
          </cell>
        </row>
        <row r="227">
          <cell r="E227">
            <v>2.9103181818181798</v>
          </cell>
        </row>
        <row r="228">
          <cell r="E228">
            <v>2.8725999999999998</v>
          </cell>
        </row>
        <row r="229">
          <cell r="E229">
            <v>2.8856190476190502</v>
          </cell>
        </row>
        <row r="230">
          <cell r="E230">
            <v>2.8783684210526301</v>
          </cell>
        </row>
        <row r="231">
          <cell r="E231">
            <v>2.8573</v>
          </cell>
        </row>
        <row r="232">
          <cell r="E232">
            <v>2.8548</v>
          </cell>
        </row>
        <row r="233">
          <cell r="E233">
            <v>2.8403043478260899</v>
          </cell>
        </row>
        <row r="234">
          <cell r="E234">
            <v>2.8406500000000001</v>
          </cell>
        </row>
        <row r="235">
          <cell r="E235">
            <v>2.8461428571428602</v>
          </cell>
        </row>
        <row r="236">
          <cell r="E236">
            <v>2.8386499999999999</v>
          </cell>
        </row>
        <row r="237">
          <cell r="E237">
            <v>2.8234210526315802</v>
          </cell>
        </row>
        <row r="238">
          <cell r="E238">
            <v>2.8025238095238101</v>
          </cell>
        </row>
        <row r="239">
          <cell r="E239">
            <v>2.7910909090909102</v>
          </cell>
        </row>
        <row r="240">
          <cell r="E240">
            <v>2.7920500000000001</v>
          </cell>
        </row>
        <row r="241">
          <cell r="E241">
            <v>2.8061428571428602</v>
          </cell>
        </row>
        <row r="242">
          <cell r="E242">
            <v>2.8163499999999999</v>
          </cell>
        </row>
        <row r="243">
          <cell r="E243">
            <v>2.78780952380952</v>
          </cell>
        </row>
        <row r="244">
          <cell r="E244">
            <v>2.77115</v>
          </cell>
        </row>
        <row r="245">
          <cell r="E245">
            <v>2.7798695652173899</v>
          </cell>
        </row>
        <row r="246">
          <cell r="E246">
            <v>2.8162631578947401</v>
          </cell>
        </row>
        <row r="247">
          <cell r="E247">
            <v>2.7755714285714301</v>
          </cell>
        </row>
        <row r="248">
          <cell r="E248">
            <v>2.7647142857142901</v>
          </cell>
        </row>
        <row r="249">
          <cell r="E249">
            <v>2.7418947368421098</v>
          </cell>
        </row>
        <row r="250">
          <cell r="E250">
            <v>2.74</v>
          </cell>
        </row>
        <row r="251">
          <cell r="E251">
            <v>2.7443181818181799</v>
          </cell>
        </row>
        <row r="252">
          <cell r="E252">
            <v>2.7324000000000002</v>
          </cell>
        </row>
        <row r="253">
          <cell r="E253">
            <v>2.70561904761905</v>
          </cell>
        </row>
        <row r="254">
          <cell r="E254">
            <v>2.6968947368421099</v>
          </cell>
        </row>
        <row r="255">
          <cell r="E255">
            <v>2.6933181818181802</v>
          </cell>
        </row>
        <row r="256">
          <cell r="E256">
            <v>2.6842380952381002</v>
          </cell>
        </row>
        <row r="257">
          <cell r="E257">
            <v>2.6715909090909098</v>
          </cell>
        </row>
        <row r="258">
          <cell r="E258">
            <v>2.6576666666666702</v>
          </cell>
        </row>
        <row r="259">
          <cell r="E259">
            <v>2.6699545454545501</v>
          </cell>
        </row>
        <row r="260">
          <cell r="E260">
            <v>2.6711499999999999</v>
          </cell>
        </row>
        <row r="261">
          <cell r="E261">
            <v>2.6357619047619001</v>
          </cell>
        </row>
        <row r="262">
          <cell r="E262">
            <v>2.6165238095238101</v>
          </cell>
        </row>
        <row r="263">
          <cell r="E263">
            <v>2.6032999999999999</v>
          </cell>
        </row>
        <row r="264">
          <cell r="E264">
            <v>2.5880999999999998</v>
          </cell>
        </row>
        <row r="265">
          <cell r="E265">
            <v>2.5991499999999998</v>
          </cell>
        </row>
        <row r="266">
          <cell r="E266">
            <v>2.5675555555555598</v>
          </cell>
        </row>
        <row r="267">
          <cell r="E267">
            <v>2.55240909090909</v>
          </cell>
        </row>
        <row r="268">
          <cell r="E268">
            <v>2.5785263157894698</v>
          </cell>
        </row>
        <row r="269">
          <cell r="E269">
            <v>2.5945263157894698</v>
          </cell>
        </row>
        <row r="270">
          <cell r="E270">
            <v>2.5980454545454599</v>
          </cell>
        </row>
        <row r="271">
          <cell r="E271">
            <v>2.6456818181818198</v>
          </cell>
        </row>
        <row r="272">
          <cell r="E272">
            <v>2.74842105263158</v>
          </cell>
        </row>
        <row r="273">
          <cell r="E273">
            <v>2.7781428571428601</v>
          </cell>
        </row>
        <row r="274">
          <cell r="E274">
            <v>2.8024761904761899</v>
          </cell>
        </row>
        <row r="275">
          <cell r="E275">
            <v>2.7797619047619002</v>
          </cell>
        </row>
        <row r="276">
          <cell r="E276">
            <v>2.7701428571428601</v>
          </cell>
        </row>
        <row r="277">
          <cell r="E277">
            <v>2.79915</v>
          </cell>
        </row>
        <row r="278">
          <cell r="E278">
            <v>2.7860999999999998</v>
          </cell>
        </row>
        <row r="279">
          <cell r="E279">
            <v>2.8097727272727302</v>
          </cell>
        </row>
        <row r="280">
          <cell r="E280">
            <v>2.81345</v>
          </cell>
        </row>
        <row r="281">
          <cell r="E281">
            <v>2.8070952380952399</v>
          </cell>
        </row>
        <row r="282">
          <cell r="E282">
            <v>2.7952499999999998</v>
          </cell>
        </row>
        <row r="283">
          <cell r="E283">
            <v>2.78776190476191</v>
          </cell>
        </row>
        <row r="284">
          <cell r="E284">
            <v>2.79514285714286</v>
          </cell>
        </row>
        <row r="285">
          <cell r="E285">
            <v>2.7870476190476201</v>
          </cell>
        </row>
        <row r="286">
          <cell r="E286">
            <v>2.8154285714285701</v>
          </cell>
        </row>
        <row r="287">
          <cell r="E287">
            <v>2.86495454545455</v>
          </cell>
        </row>
        <row r="288">
          <cell r="E288">
            <v>2.9072272727272699</v>
          </cell>
        </row>
        <row r="289">
          <cell r="E289">
            <v>2.9262999999999999</v>
          </cell>
        </row>
        <row r="290">
          <cell r="E290">
            <v>2.9631428571428602</v>
          </cell>
        </row>
        <row r="291">
          <cell r="E291">
            <v>3.0069499999999998</v>
          </cell>
        </row>
        <row r="292">
          <cell r="E292">
            <v>3.0801500000000002</v>
          </cell>
        </row>
        <row r="293">
          <cell r="E293">
            <v>3.0930909090909098</v>
          </cell>
        </row>
        <row r="294">
          <cell r="E294">
            <v>3.1214499999999998</v>
          </cell>
        </row>
        <row r="295">
          <cell r="E295">
            <v>3.1516999999999999</v>
          </cell>
        </row>
        <row r="296">
          <cell r="E296">
            <v>3.16242857142857</v>
          </cell>
        </row>
        <row r="297">
          <cell r="E297">
            <v>3.1829000000000001</v>
          </cell>
        </row>
        <row r="298">
          <cell r="E298">
            <v>3.24</v>
          </cell>
        </row>
        <row r="299">
          <cell r="E299">
            <v>3.2204999999999999</v>
          </cell>
        </row>
        <row r="300">
          <cell r="E300">
            <v>3.2503000000000002</v>
          </cell>
        </row>
        <row r="301">
          <cell r="E301">
            <v>3.3385238095238101</v>
          </cell>
        </row>
        <row r="302">
          <cell r="E302">
            <v>3.3850952380952402</v>
          </cell>
        </row>
        <row r="303">
          <cell r="E303">
            <v>3.43885</v>
          </cell>
        </row>
        <row r="304">
          <cell r="E304">
            <v>3.5075238095238102</v>
          </cell>
        </row>
        <row r="305">
          <cell r="E305">
            <v>3.4098095238095198</v>
          </cell>
        </row>
        <row r="306">
          <cell r="E306">
            <v>3.3033333333333301</v>
          </cell>
        </row>
        <row r="307">
          <cell r="E307">
            <v>3.3361818181818199</v>
          </cell>
        </row>
        <row r="308">
          <cell r="E308">
            <v>3.3184285714285702</v>
          </cell>
        </row>
        <row r="309">
          <cell r="E309">
            <v>3.3007368421052599</v>
          </cell>
        </row>
        <row r="310">
          <cell r="E310">
            <v>3.3353636363636401</v>
          </cell>
        </row>
        <row r="311">
          <cell r="E311">
            <v>3.3844545454545498</v>
          </cell>
        </row>
        <row r="312">
          <cell r="E312">
            <v>3.3877142857142899</v>
          </cell>
        </row>
        <row r="313">
          <cell r="E313">
            <v>3.4051578947368402</v>
          </cell>
        </row>
        <row r="314">
          <cell r="E314">
            <v>3.3979523809523799</v>
          </cell>
        </row>
        <row r="315">
          <cell r="E315">
            <v>3.3419090909090898</v>
          </cell>
        </row>
        <row r="316">
          <cell r="E316">
            <v>3.2618499999999999</v>
          </cell>
        </row>
        <row r="317">
          <cell r="E317">
            <v>3.2654782608695601</v>
          </cell>
        </row>
        <row r="318">
          <cell r="E318">
            <v>3.24877777777778</v>
          </cell>
        </row>
        <row r="319">
          <cell r="E319">
            <v>3.2745454545454602</v>
          </cell>
        </row>
        <row r="320">
          <cell r="E320">
            <v>3.26945</v>
          </cell>
        </row>
        <row r="321">
          <cell r="E321">
            <v>3.25047368421053</v>
          </cell>
        </row>
        <row r="322">
          <cell r="E322">
            <v>3.2428181818181798</v>
          </cell>
        </row>
        <row r="323">
          <cell r="E323">
            <v>3.2475714285714301</v>
          </cell>
        </row>
        <row r="324">
          <cell r="E324">
            <v>3.2524545454545501</v>
          </cell>
        </row>
        <row r="325">
          <cell r="E325">
            <v>3.2423333333333302</v>
          </cell>
        </row>
        <row r="326">
          <cell r="E326">
            <v>3.24831578947368</v>
          </cell>
        </row>
        <row r="327">
          <cell r="E327">
            <v>3.2166190476190502</v>
          </cell>
        </row>
        <row r="328">
          <cell r="E328">
            <v>3.2495500000000002</v>
          </cell>
        </row>
        <row r="329">
          <cell r="E329">
            <v>3.25325</v>
          </cell>
        </row>
        <row r="330">
          <cell r="E330">
            <v>3.2316500000000001</v>
          </cell>
        </row>
        <row r="331">
          <cell r="E331">
            <v>3.2748636363636399</v>
          </cell>
        </row>
        <row r="332">
          <cell r="E332">
            <v>3.2722000000000002</v>
          </cell>
        </row>
        <row r="333">
          <cell r="E333">
            <v>3.2785238095238101</v>
          </cell>
        </row>
        <row r="334">
          <cell r="E334">
            <v>3.2896190476190501</v>
          </cell>
        </row>
        <row r="335">
          <cell r="E335">
            <v>3.3128500000000001</v>
          </cell>
        </row>
        <row r="336">
          <cell r="E336">
            <v>3.3353636363636401</v>
          </cell>
        </row>
        <row r="337">
          <cell r="E337">
            <v>3.3767999999999998</v>
          </cell>
        </row>
        <row r="338">
          <cell r="E338">
            <v>3.3663157894736799</v>
          </cell>
        </row>
        <row r="339">
          <cell r="E339">
            <v>3.3453636363636399</v>
          </cell>
        </row>
        <row r="340">
          <cell r="E340">
            <v>3.3231000000000002</v>
          </cell>
        </row>
        <row r="341">
          <cell r="E341">
            <v>3.3062380952381001</v>
          </cell>
        </row>
        <row r="342">
          <cell r="E342">
            <v>3.3056000000000001</v>
          </cell>
        </row>
        <row r="343">
          <cell r="E343">
            <v>3.3341818181818201</v>
          </cell>
        </row>
        <row r="344">
          <cell r="E344">
            <v>3.3274499999999998</v>
          </cell>
        </row>
        <row r="345">
          <cell r="E345">
            <v>3.2920952380952402</v>
          </cell>
        </row>
        <row r="346">
          <cell r="E346">
            <v>3.3793199999999999</v>
          </cell>
        </row>
        <row r="347">
          <cell r="E347">
            <v>3.3591428571428601</v>
          </cell>
        </row>
        <row r="348">
          <cell r="E348">
            <v>3.3615238095238098</v>
          </cell>
        </row>
        <row r="349">
          <cell r="E349">
            <v>3.3736999999999999</v>
          </cell>
        </row>
        <row r="350">
          <cell r="E350">
            <v>3.3573809523809501</v>
          </cell>
        </row>
        <row r="351">
          <cell r="E351">
            <v>3.3289090909090899</v>
          </cell>
        </row>
        <row r="352">
          <cell r="E352">
            <v>3.39175</v>
          </cell>
        </row>
        <row r="353">
          <cell r="E353">
            <v>3.4937727272727299</v>
          </cell>
        </row>
        <row r="354">
          <cell r="E354">
            <v>3.4001999999999999</v>
          </cell>
        </row>
        <row r="355">
          <cell r="E355">
            <v>3.4235500000000001</v>
          </cell>
        </row>
        <row r="356">
          <cell r="E356">
            <v>3.4718571428571399</v>
          </cell>
        </row>
        <row r="357">
          <cell r="E357">
            <v>3.5191818181818202</v>
          </cell>
        </row>
        <row r="358">
          <cell r="E358">
            <v>3.5659047619047599</v>
          </cell>
        </row>
        <row r="359">
          <cell r="E359">
            <v>3.5570454545454502</v>
          </cell>
        </row>
        <row r="360">
          <cell r="E360">
            <v>3.59777272727273</v>
          </cell>
        </row>
        <row r="361">
          <cell r="E361">
            <v>3.6109047619047598</v>
          </cell>
        </row>
        <row r="362">
          <cell r="E362">
            <v>3.6055714285714302</v>
          </cell>
        </row>
        <row r="363">
          <cell r="E363">
            <v>3.6265999999999998</v>
          </cell>
        </row>
        <row r="364">
          <cell r="E364">
            <v>3.6475499999999998</v>
          </cell>
        </row>
        <row r="365">
          <cell r="E365">
            <v>3.7103478260869598</v>
          </cell>
        </row>
        <row r="366">
          <cell r="E366">
            <v>3.7035999999999998</v>
          </cell>
        </row>
        <row r="367">
          <cell r="E367">
            <v>3.7763809523809502</v>
          </cell>
        </row>
        <row r="368">
          <cell r="E368">
            <v>3.9157619047619101</v>
          </cell>
        </row>
        <row r="369">
          <cell r="E369">
            <v>3.9445000000000001</v>
          </cell>
        </row>
        <row r="370">
          <cell r="E370">
            <v>4.09</v>
          </cell>
        </row>
        <row r="371">
          <cell r="E371">
            <v>4.1106363636363596</v>
          </cell>
        </row>
        <row r="372">
          <cell r="E372">
            <v>4.0186999999999999</v>
          </cell>
        </row>
        <row r="373">
          <cell r="E373">
            <v>4.0233333333333299</v>
          </cell>
        </row>
        <row r="374">
          <cell r="E374">
            <v>4.0423181818181799</v>
          </cell>
        </row>
        <row r="375">
          <cell r="E375">
            <v>3.8934761904761901</v>
          </cell>
        </row>
        <row r="376">
          <cell r="E376">
            <v>3.7951999999999999</v>
          </cell>
        </row>
        <row r="377">
          <cell r="E377">
            <v>3.7429130434782598</v>
          </cell>
        </row>
        <row r="378">
          <cell r="E378">
            <v>3.7441578947368401</v>
          </cell>
        </row>
        <row r="379">
          <cell r="E379">
            <v>3.7614999999999998</v>
          </cell>
        </row>
        <row r="380">
          <cell r="E380">
            <v>3.75171428571428</v>
          </cell>
        </row>
        <row r="381">
          <cell r="E381">
            <v>3.9070526315789502</v>
          </cell>
        </row>
        <row r="382">
          <cell r="E382">
            <v>3.87768181818182</v>
          </cell>
        </row>
        <row r="383">
          <cell r="E383">
            <v>3.9013181818181799</v>
          </cell>
        </row>
        <row r="384">
          <cell r="E384">
            <v>3.9821428571428599</v>
          </cell>
        </row>
        <row r="385">
          <cell r="E385">
            <v>3.8809047619047599</v>
          </cell>
        </row>
        <row r="386">
          <cell r="E386">
            <v>3.8345500000000001</v>
          </cell>
        </row>
        <row r="387">
          <cell r="E387">
            <v>3.83580952380952</v>
          </cell>
        </row>
        <row r="388">
          <cell r="E388">
            <v>3.8438500000000002</v>
          </cell>
        </row>
        <row r="389">
          <cell r="E389">
            <v>3.78230434782609</v>
          </cell>
        </row>
        <row r="390">
          <cell r="E390">
            <v>3.76877777777778</v>
          </cell>
        </row>
        <row r="391">
          <cell r="E391">
            <v>3.69222727272727</v>
          </cell>
        </row>
        <row r="392">
          <cell r="E392">
            <v>3.65480952380952</v>
          </cell>
        </row>
        <row r="393">
          <cell r="E393">
            <v>3.6058500000000002</v>
          </cell>
        </row>
        <row r="394">
          <cell r="E394">
            <v>3.6999090909090899</v>
          </cell>
        </row>
        <row r="395">
          <cell r="E395">
            <v>3.7330476190476198</v>
          </cell>
        </row>
        <row r="396">
          <cell r="E396">
            <v>3.8481818181818199</v>
          </cell>
        </row>
        <row r="397">
          <cell r="E397">
            <v>3.7658095238095202</v>
          </cell>
        </row>
        <row r="398">
          <cell r="E398">
            <v>3.7381052631578902</v>
          </cell>
        </row>
        <row r="399">
          <cell r="E399">
            <v>3.74366666666667</v>
          </cell>
        </row>
        <row r="400">
          <cell r="E400">
            <v>3.83090476190476</v>
          </cell>
        </row>
        <row r="401">
          <cell r="E401">
            <v>3.7129473684210499</v>
          </cell>
        </row>
        <row r="402">
          <cell r="E402">
            <v>3.7184090909090899</v>
          </cell>
        </row>
        <row r="403">
          <cell r="E403">
            <v>3.7352727272727302</v>
          </cell>
        </row>
        <row r="404">
          <cell r="E404">
            <v>3.7895263157894701</v>
          </cell>
        </row>
        <row r="405">
          <cell r="E405">
            <v>3.7694999999999999</v>
          </cell>
        </row>
        <row r="406">
          <cell r="E406">
            <v>3.7455500000000002</v>
          </cell>
        </row>
        <row r="407">
          <cell r="E407">
            <v>3.7721428571428599</v>
          </cell>
        </row>
        <row r="408">
          <cell r="E408">
            <v>3.7574999999999998</v>
          </cell>
        </row>
        <row r="409">
          <cell r="E409">
            <v>3.7830499999999998</v>
          </cell>
        </row>
        <row r="410">
          <cell r="E410">
            <v>3.7401578947368401</v>
          </cell>
        </row>
        <row r="411">
          <cell r="E411">
            <v>3.7516818181818201</v>
          </cell>
        </row>
        <row r="412">
          <cell r="E412">
            <v>3.7020499999999998</v>
          </cell>
        </row>
        <row r="413">
          <cell r="E413">
            <v>3.6571904761904799</v>
          </cell>
        </row>
        <row r="414">
          <cell r="E414">
            <v>3.7039</v>
          </cell>
        </row>
        <row r="415">
          <cell r="E415">
            <v>3.6649523809523799</v>
          </cell>
        </row>
        <row r="416">
          <cell r="E416">
            <v>3.6094761904761898</v>
          </cell>
        </row>
        <row r="417">
          <cell r="E417">
            <v>3.56135</v>
          </cell>
        </row>
        <row r="418">
          <cell r="E418">
            <v>3.5478499999999999</v>
          </cell>
        </row>
        <row r="419">
          <cell r="E419">
            <v>3.5079545454545502</v>
          </cell>
        </row>
        <row r="420">
          <cell r="E420">
            <v>3.4184545454545501</v>
          </cell>
        </row>
        <row r="421">
          <cell r="E421">
            <v>3.3776999999999999</v>
          </cell>
        </row>
        <row r="422">
          <cell r="E422">
            <v>3.3715263157894699</v>
          </cell>
        </row>
        <row r="423">
          <cell r="E423">
            <v>3.3612000000000002</v>
          </cell>
        </row>
        <row r="424">
          <cell r="E424">
            <v>3.3612500000000001</v>
          </cell>
        </row>
        <row r="425">
          <cell r="E425">
            <v>3.4517272727272701</v>
          </cell>
        </row>
        <row r="426">
          <cell r="E426">
            <v>3.4478499999999999</v>
          </cell>
        </row>
        <row r="427">
          <cell r="E427">
            <v>3.4386000000000001</v>
          </cell>
        </row>
      </sheetData>
      <sheetData sheetId="2"/>
      <sheetData sheetId="3">
        <row r="2">
          <cell r="L2">
            <v>7.6923076923076898</v>
          </cell>
        </row>
        <row r="3">
          <cell r="L3">
            <v>-19.047619047619101</v>
          </cell>
        </row>
        <row r="4">
          <cell r="L4">
            <v>13.235294117647101</v>
          </cell>
        </row>
        <row r="5">
          <cell r="L5">
            <v>3.8961038961038801</v>
          </cell>
        </row>
        <row r="6">
          <cell r="L6">
            <v>31.25</v>
          </cell>
        </row>
        <row r="7">
          <cell r="L7">
            <v>0.952380952380949</v>
          </cell>
        </row>
        <row r="8">
          <cell r="L8">
            <v>1.88679245283019</v>
          </cell>
        </row>
        <row r="9">
          <cell r="L9">
            <v>4.6296296296296298</v>
          </cell>
        </row>
        <row r="10">
          <cell r="L10">
            <v>-14.159292035398201</v>
          </cell>
        </row>
        <row r="11">
          <cell r="L11">
            <v>-2.0618556701031001</v>
          </cell>
        </row>
        <row r="12">
          <cell r="L12">
            <v>3.1578947368421102</v>
          </cell>
        </row>
        <row r="13">
          <cell r="L13">
            <v>-9.1836734693877595</v>
          </cell>
        </row>
        <row r="14">
          <cell r="L14">
            <v>12.3595505617978</v>
          </cell>
        </row>
        <row r="15">
          <cell r="L15">
            <v>4</v>
          </cell>
        </row>
        <row r="16">
          <cell r="L16">
            <v>7.6923076923076898</v>
          </cell>
        </row>
        <row r="17">
          <cell r="L17">
            <v>9.8214285714285801</v>
          </cell>
        </row>
        <row r="18">
          <cell r="L18">
            <v>15.4471544715447</v>
          </cell>
        </row>
        <row r="19">
          <cell r="L19">
            <v>15.492957746478901</v>
          </cell>
        </row>
        <row r="20">
          <cell r="L20">
            <v>14.634146341463399</v>
          </cell>
        </row>
        <row r="21">
          <cell r="L21">
            <v>11.702127659574501</v>
          </cell>
        </row>
        <row r="22">
          <cell r="L22">
            <v>-5.2380952380952399</v>
          </cell>
        </row>
        <row r="23">
          <cell r="L23">
            <v>-4.7181187820319597</v>
          </cell>
        </row>
        <row r="24">
          <cell r="L24">
            <v>-5.0730369667246702</v>
          </cell>
        </row>
        <row r="25">
          <cell r="L25">
            <v>3.8108993944781</v>
          </cell>
        </row>
        <row r="26">
          <cell r="L26">
            <v>7.1225985979558102</v>
          </cell>
        </row>
        <row r="27">
          <cell r="L27">
            <v>0.55450094914577597</v>
          </cell>
        </row>
        <row r="28">
          <cell r="L28">
            <v>-3.8104227731134199</v>
          </cell>
        </row>
        <row r="29">
          <cell r="L29">
            <v>-6.2958372069001198</v>
          </cell>
        </row>
        <row r="30">
          <cell r="L30">
            <v>-2.68974260045198</v>
          </cell>
        </row>
        <row r="31">
          <cell r="L31">
            <v>-4.5197740112994298</v>
          </cell>
        </row>
        <row r="32">
          <cell r="L32">
            <v>-6.5088757396449601</v>
          </cell>
        </row>
        <row r="33">
          <cell r="L33">
            <v>-4.4303797468354604</v>
          </cell>
        </row>
        <row r="34">
          <cell r="L34">
            <v>-2.6490066225165498</v>
          </cell>
        </row>
        <row r="35">
          <cell r="L35">
            <v>2.0408163265305901</v>
          </cell>
        </row>
        <row r="36">
          <cell r="L36">
            <v>1.3333333333333099</v>
          </cell>
        </row>
        <row r="37">
          <cell r="L37">
            <v>5.2631578947368398</v>
          </cell>
        </row>
        <row r="38">
          <cell r="L38">
            <v>6.25</v>
          </cell>
        </row>
        <row r="39">
          <cell r="L39">
            <v>1.2847190807925299</v>
          </cell>
        </row>
        <row r="40">
          <cell r="L40">
            <v>-1.3130861991960501</v>
          </cell>
        </row>
        <row r="41">
          <cell r="L41">
            <v>7.4583635047067203</v>
          </cell>
        </row>
        <row r="42">
          <cell r="L42">
            <v>8.3305256064690205</v>
          </cell>
        </row>
        <row r="43">
          <cell r="L43">
            <v>12.222999766736599</v>
          </cell>
        </row>
        <row r="44">
          <cell r="L44">
            <v>10.101849927250001</v>
          </cell>
        </row>
        <row r="45">
          <cell r="L45">
            <v>14.108614939273799</v>
          </cell>
        </row>
        <row r="46">
          <cell r="L46">
            <v>11.3991066012243</v>
          </cell>
        </row>
        <row r="47">
          <cell r="L47">
            <v>9.4059405940594196</v>
          </cell>
        </row>
        <row r="48">
          <cell r="L48">
            <v>29.221719457013599</v>
          </cell>
        </row>
        <row r="49">
          <cell r="L49">
            <v>30.898522305483599</v>
          </cell>
        </row>
        <row r="50">
          <cell r="L50">
            <v>14.827992081750599</v>
          </cell>
        </row>
        <row r="51">
          <cell r="B51">
            <v>40920</v>
          </cell>
          <cell r="C51">
            <v>30156</v>
          </cell>
          <cell r="D51">
            <v>3396</v>
          </cell>
          <cell r="G51">
            <v>4491.6390806865902</v>
          </cell>
          <cell r="H51">
            <v>619.85381786825599</v>
          </cell>
          <cell r="J51">
            <v>5943.2792643146204</v>
          </cell>
          <cell r="K51">
            <v>3854.78864646801</v>
          </cell>
          <cell r="L51">
            <v>10.2903887415991</v>
          </cell>
          <cell r="M51">
            <v>119.378626326031</v>
          </cell>
        </row>
        <row r="52">
          <cell r="B52">
            <v>44711</v>
          </cell>
          <cell r="C52">
            <v>33508</v>
          </cell>
          <cell r="D52">
            <v>3493</v>
          </cell>
          <cell r="G52">
            <v>6165.2870266865302</v>
          </cell>
          <cell r="H52">
            <v>655.80533930461502</v>
          </cell>
          <cell r="J52">
            <v>5824.4327736742498</v>
          </cell>
          <cell r="K52">
            <v>5207.8130289672899</v>
          </cell>
          <cell r="L52">
            <v>9.9543647980861198</v>
          </cell>
          <cell r="M52">
            <v>128.45127740030699</v>
          </cell>
        </row>
        <row r="53">
          <cell r="B53">
            <v>47347</v>
          </cell>
          <cell r="C53">
            <v>34356</v>
          </cell>
          <cell r="D53">
            <v>3887</v>
          </cell>
          <cell r="G53">
            <v>6519.4687415927701</v>
          </cell>
          <cell r="H53">
            <v>1467.69234936373</v>
          </cell>
          <cell r="J53">
            <v>6692.2490704002103</v>
          </cell>
          <cell r="K53">
            <v>5775.4812212969</v>
          </cell>
          <cell r="L53">
            <v>6.92081270880551</v>
          </cell>
          <cell r="M53">
            <v>111.80779618871701</v>
          </cell>
        </row>
        <row r="54">
          <cell r="B54">
            <v>50085</v>
          </cell>
          <cell r="C54">
            <v>36175</v>
          </cell>
          <cell r="D54">
            <v>3966</v>
          </cell>
          <cell r="G54">
            <v>7399.7857489829503</v>
          </cell>
          <cell r="H54">
            <v>1225.52311171871</v>
          </cell>
          <cell r="J54">
            <v>7328.0300587113798</v>
          </cell>
          <cell r="K54">
            <v>6266.3724094392601</v>
          </cell>
          <cell r="L54">
            <v>9.0867268299980708</v>
          </cell>
          <cell r="M54">
            <v>96.0095575504089</v>
          </cell>
        </row>
        <row r="55">
          <cell r="B55">
            <v>52762</v>
          </cell>
          <cell r="C55">
            <v>38076</v>
          </cell>
          <cell r="D55">
            <v>4703</v>
          </cell>
          <cell r="G55">
            <v>6284.67734292162</v>
          </cell>
          <cell r="H55">
            <v>959.58459647575296</v>
          </cell>
          <cell r="J55">
            <v>7826.3295963799601</v>
          </cell>
          <cell r="K55">
            <v>5501.9294767040101</v>
          </cell>
          <cell r="L55">
            <v>5.40468806674295</v>
          </cell>
          <cell r="M55">
            <v>99.748894361451306</v>
          </cell>
        </row>
        <row r="56">
          <cell r="B56">
            <v>55858</v>
          </cell>
          <cell r="C56">
            <v>41149</v>
          </cell>
          <cell r="D56">
            <v>4701</v>
          </cell>
          <cell r="G56">
            <v>6474.7796354439597</v>
          </cell>
          <cell r="H56">
            <v>2102.4498508783699</v>
          </cell>
          <cell r="J56">
            <v>8213.0315367676703</v>
          </cell>
          <cell r="K56">
            <v>7042.5077542855597</v>
          </cell>
          <cell r="L56">
            <v>4.70227612405803</v>
          </cell>
          <cell r="M56">
            <v>105.267817721803</v>
          </cell>
        </row>
        <row r="57">
          <cell r="B57">
            <v>58484</v>
          </cell>
          <cell r="C57">
            <v>42263</v>
          </cell>
          <cell r="D57">
            <v>4976</v>
          </cell>
          <cell r="G57">
            <v>8812.0734094192903</v>
          </cell>
          <cell r="H57">
            <v>1663.0378320447901</v>
          </cell>
          <cell r="J57">
            <v>8889.1941651595607</v>
          </cell>
          <cell r="K57">
            <v>8270.2743994541706</v>
          </cell>
          <cell r="L57">
            <v>5.4741371082719601</v>
          </cell>
          <cell r="M57">
            <v>106.798591109542</v>
          </cell>
        </row>
        <row r="58">
          <cell r="B58">
            <v>62371</v>
          </cell>
          <cell r="C58">
            <v>44707</v>
          </cell>
          <cell r="D58">
            <v>5760</v>
          </cell>
          <cell r="G58">
            <v>10021.5000076531</v>
          </cell>
          <cell r="H58">
            <v>1383.64747626127</v>
          </cell>
          <cell r="J58">
            <v>9146.9718851144298</v>
          </cell>
          <cell r="K58">
            <v>9090.5810789422503</v>
          </cell>
          <cell r="L58">
            <v>7.4000550224373001</v>
          </cell>
          <cell r="M58">
            <v>107.250995953266</v>
          </cell>
        </row>
        <row r="59">
          <cell r="B59">
            <v>61706</v>
          </cell>
          <cell r="C59">
            <v>44274</v>
          </cell>
          <cell r="D59">
            <v>5756</v>
          </cell>
          <cell r="G59">
            <v>8769.1736528324709</v>
          </cell>
          <cell r="H59">
            <v>1422.3896055965799</v>
          </cell>
          <cell r="J59">
            <v>9209.9842166589497</v>
          </cell>
          <cell r="K59">
            <v>8023.27615445225</v>
          </cell>
          <cell r="L59">
            <v>7.9405555417016798</v>
          </cell>
          <cell r="M59">
            <v>90.450178977360494</v>
          </cell>
        </row>
        <row r="60">
          <cell r="B60">
            <v>63653</v>
          </cell>
          <cell r="C60">
            <v>44719</v>
          </cell>
          <cell r="D60">
            <v>6449</v>
          </cell>
          <cell r="G60">
            <v>7066.60755342631</v>
          </cell>
          <cell r="H60">
            <v>940.19952929934198</v>
          </cell>
          <cell r="J60">
            <v>10416.482955322899</v>
          </cell>
          <cell r="K60">
            <v>6713.4408172304102</v>
          </cell>
          <cell r="L60">
            <v>12.702214773217399</v>
          </cell>
          <cell r="M60">
            <v>92.341467198206203</v>
          </cell>
        </row>
        <row r="61">
          <cell r="B61">
            <v>69946</v>
          </cell>
          <cell r="C61">
            <v>46682</v>
          </cell>
          <cell r="D61">
            <v>7578</v>
          </cell>
          <cell r="G61">
            <v>7739.6636606246102</v>
          </cell>
          <cell r="H61">
            <v>856.52177119170096</v>
          </cell>
          <cell r="J61">
            <v>13387.5037795105</v>
          </cell>
          <cell r="K61">
            <v>8029.2015773920002</v>
          </cell>
          <cell r="L61">
            <v>8.6255513085241695</v>
          </cell>
          <cell r="M61">
            <v>89.8754189913152</v>
          </cell>
        </row>
        <row r="62">
          <cell r="B62">
            <v>75085</v>
          </cell>
          <cell r="C62">
            <v>48688</v>
          </cell>
          <cell r="D62">
            <v>8758</v>
          </cell>
          <cell r="G62">
            <v>8835.4208429803402</v>
          </cell>
          <cell r="H62">
            <v>2157.57834163189</v>
          </cell>
          <cell r="J62">
            <v>15797.212734485</v>
          </cell>
          <cell r="K62">
            <v>9764.0513418377905</v>
          </cell>
          <cell r="L62">
            <v>6.01965054604862</v>
          </cell>
          <cell r="M62">
            <v>85.261473450427204</v>
          </cell>
        </row>
        <row r="63">
          <cell r="B63">
            <v>82620</v>
          </cell>
          <cell r="C63">
            <v>54666</v>
          </cell>
          <cell r="D63">
            <v>9200</v>
          </cell>
          <cell r="G63">
            <v>10573.441532418399</v>
          </cell>
          <cell r="H63">
            <v>1902.98409731933</v>
          </cell>
          <cell r="J63">
            <v>16862.4464537772</v>
          </cell>
          <cell r="K63">
            <v>11013.6184735441</v>
          </cell>
          <cell r="L63">
            <v>6.6184553512499598</v>
          </cell>
          <cell r="M63">
            <v>89.064161887336198</v>
          </cell>
        </row>
        <row r="64">
          <cell r="B64">
            <v>86196</v>
          </cell>
          <cell r="C64">
            <v>59612</v>
          </cell>
          <cell r="D64">
            <v>9737</v>
          </cell>
          <cell r="G64">
            <v>9897.6583650463399</v>
          </cell>
          <cell r="H64">
            <v>1971.4915248228299</v>
          </cell>
          <cell r="J64">
            <v>16558.8062231527</v>
          </cell>
          <cell r="K64">
            <v>12179.7543827885</v>
          </cell>
          <cell r="L64">
            <v>6.02329817188647</v>
          </cell>
          <cell r="M64">
            <v>93.903952416475704</v>
          </cell>
        </row>
        <row r="65">
          <cell r="B65">
            <v>91840</v>
          </cell>
          <cell r="C65">
            <v>63353</v>
          </cell>
          <cell r="D65">
            <v>10956</v>
          </cell>
          <cell r="G65">
            <v>9112.4109106947508</v>
          </cell>
          <cell r="H65">
            <v>2677.2854907094002</v>
          </cell>
          <cell r="J65">
            <v>17701.373258431398</v>
          </cell>
          <cell r="K65">
            <v>13009.1551605852</v>
          </cell>
          <cell r="L65">
            <v>9.8532790452087706</v>
          </cell>
          <cell r="M65">
            <v>95.792713279083401</v>
          </cell>
        </row>
        <row r="66">
          <cell r="B66">
            <v>97003</v>
          </cell>
          <cell r="C66">
            <v>67778</v>
          </cell>
          <cell r="D66">
            <v>11698</v>
          </cell>
          <cell r="G66">
            <v>10646.691178111299</v>
          </cell>
          <cell r="H66">
            <v>3464.4074249779601</v>
          </cell>
          <cell r="J66">
            <v>18214.7009896501</v>
          </cell>
          <cell r="K66">
            <v>15207.7405652623</v>
          </cell>
          <cell r="L66">
            <v>16.362830478809801</v>
          </cell>
          <cell r="M66">
            <v>97.804778937294699</v>
          </cell>
        </row>
        <row r="67">
          <cell r="B67">
            <v>104995</v>
          </cell>
          <cell r="C67">
            <v>74505</v>
          </cell>
          <cell r="D67">
            <v>11713</v>
          </cell>
          <cell r="G67">
            <v>11845.486688749899</v>
          </cell>
          <cell r="H67">
            <v>4001.3905758495498</v>
          </cell>
          <cell r="J67">
            <v>19066.5343605298</v>
          </cell>
          <cell r="K67">
            <v>17236.770150952201</v>
          </cell>
          <cell r="L67">
            <v>8.88864686218378</v>
          </cell>
          <cell r="M67">
            <v>112.807724475231</v>
          </cell>
        </row>
        <row r="68">
          <cell r="B68">
            <v>109040</v>
          </cell>
          <cell r="C68">
            <v>79682</v>
          </cell>
          <cell r="D68">
            <v>12118</v>
          </cell>
          <cell r="G68">
            <v>11098.863349101999</v>
          </cell>
          <cell r="H68">
            <v>3457.2014575340099</v>
          </cell>
          <cell r="J68">
            <v>20188.9812966789</v>
          </cell>
          <cell r="K68">
            <v>19113.164644124601</v>
          </cell>
          <cell r="L68">
            <v>11.455410156528099</v>
          </cell>
          <cell r="M68">
            <v>103.328185370295</v>
          </cell>
        </row>
        <row r="69">
          <cell r="B69">
            <v>109206</v>
          </cell>
          <cell r="C69">
            <v>78662</v>
          </cell>
          <cell r="D69">
            <v>12893</v>
          </cell>
          <cell r="G69">
            <v>9328.4205057726904</v>
          </cell>
          <cell r="H69">
            <v>3059.6232899175998</v>
          </cell>
          <cell r="J69">
            <v>22181.295435967899</v>
          </cell>
          <cell r="K69">
            <v>17375.589818861601</v>
          </cell>
          <cell r="L69">
            <v>19.1166742092087</v>
          </cell>
          <cell r="M69">
            <v>101.454251786341</v>
          </cell>
        </row>
        <row r="70">
          <cell r="B70">
            <v>113044</v>
          </cell>
          <cell r="C70">
            <v>81410</v>
          </cell>
          <cell r="D70">
            <v>13604</v>
          </cell>
          <cell r="G70">
            <v>9240.6293231407399</v>
          </cell>
          <cell r="H70">
            <v>3640.9517150019401</v>
          </cell>
          <cell r="J70">
            <v>21789.6783922779</v>
          </cell>
          <cell r="K70">
            <v>17267.728109305899</v>
          </cell>
          <cell r="L70">
            <v>6.2306781796362696</v>
          </cell>
          <cell r="M70">
            <v>112.839290206984</v>
          </cell>
        </row>
        <row r="71">
          <cell r="B71">
            <v>116849</v>
          </cell>
          <cell r="C71">
            <v>83297</v>
          </cell>
          <cell r="D71">
            <v>14280</v>
          </cell>
          <cell r="G71">
            <v>10089.3769217884</v>
          </cell>
          <cell r="H71">
            <v>4372.7830097173301</v>
          </cell>
          <cell r="J71">
            <v>23035.0029109844</v>
          </cell>
          <cell r="K71">
            <v>18448.851853044998</v>
          </cell>
          <cell r="L71">
            <v>5.0174015288193301</v>
          </cell>
          <cell r="M71">
            <v>110.220012572709</v>
          </cell>
          <cell r="N71">
            <v>-0.85840930711247099</v>
          </cell>
        </row>
        <row r="72">
          <cell r="B72">
            <v>122213</v>
          </cell>
          <cell r="C72">
            <v>87096</v>
          </cell>
          <cell r="D72">
            <v>15264</v>
          </cell>
          <cell r="G72">
            <v>11284.3230948532</v>
          </cell>
          <cell r="H72">
            <v>5050.5643762235204</v>
          </cell>
          <cell r="J72">
            <v>22360.042538076599</v>
          </cell>
          <cell r="K72">
            <v>19282.942270387601</v>
          </cell>
          <cell r="L72">
            <v>6.8065718773359798</v>
          </cell>
          <cell r="M72">
            <v>97.130807239854605</v>
          </cell>
          <cell r="N72">
            <v>-1.48069792048792</v>
          </cell>
        </row>
        <row r="73">
          <cell r="B73">
            <v>126463</v>
          </cell>
          <cell r="C73">
            <v>89075</v>
          </cell>
          <cell r="D73">
            <v>16274</v>
          </cell>
          <cell r="G73">
            <v>11492.0302153871</v>
          </cell>
          <cell r="H73">
            <v>5489.9634769549602</v>
          </cell>
          <cell r="J73">
            <v>24439.025153580798</v>
          </cell>
          <cell r="K73">
            <v>19230.183825496199</v>
          </cell>
          <cell r="L73">
            <v>7.1918037733339704</v>
          </cell>
          <cell r="M73">
            <v>89.516890593504598</v>
          </cell>
          <cell r="N73">
            <v>-2.9481807061863501</v>
          </cell>
        </row>
        <row r="74">
          <cell r="B74">
            <v>134401</v>
          </cell>
          <cell r="C74">
            <v>95745</v>
          </cell>
          <cell r="D74">
            <v>17253</v>
          </cell>
          <cell r="G74">
            <v>16619.966452074401</v>
          </cell>
          <cell r="H74">
            <v>6478.1569028068598</v>
          </cell>
          <cell r="J74">
            <v>19914.3366394925</v>
          </cell>
          <cell r="K74">
            <v>21596.804084983502</v>
          </cell>
          <cell r="L74">
            <v>9.5134722820955595</v>
          </cell>
          <cell r="M74">
            <v>111.36713137957599</v>
          </cell>
          <cell r="N74">
            <v>-4.6343155747427502</v>
          </cell>
        </row>
        <row r="75">
          <cell r="B75">
            <v>147017</v>
          </cell>
          <cell r="C75">
            <v>104616</v>
          </cell>
          <cell r="D75">
            <v>18290</v>
          </cell>
          <cell r="G75">
            <v>19321.420272382398</v>
          </cell>
          <cell r="H75">
            <v>10170.7063374068</v>
          </cell>
          <cell r="J75">
            <v>20950.468703980401</v>
          </cell>
          <cell r="K75">
            <v>27461.546891420901</v>
          </cell>
          <cell r="L75">
            <v>16.877104822007102</v>
          </cell>
          <cell r="M75">
            <v>122.840368864569</v>
          </cell>
          <cell r="N75">
            <v>-6.9806253322396801</v>
          </cell>
        </row>
        <row r="76">
          <cell r="B76">
            <v>153340</v>
          </cell>
          <cell r="C76">
            <v>108208</v>
          </cell>
          <cell r="D76">
            <v>20315</v>
          </cell>
          <cell r="G76">
            <v>19276.900458587599</v>
          </cell>
          <cell r="H76">
            <v>11381.020391558201</v>
          </cell>
          <cell r="J76">
            <v>21432.325629882402</v>
          </cell>
          <cell r="K76">
            <v>26677.236364123</v>
          </cell>
          <cell r="L76">
            <v>23.6336814670778</v>
          </cell>
          <cell r="M76">
            <v>111.132386521559</v>
          </cell>
          <cell r="N76">
            <v>-9.7913030353969503</v>
          </cell>
        </row>
        <row r="77">
          <cell r="B77">
            <v>155559</v>
          </cell>
          <cell r="C77">
            <v>109208</v>
          </cell>
          <cell r="D77">
            <v>21292</v>
          </cell>
          <cell r="G77">
            <v>15768.062244446901</v>
          </cell>
          <cell r="H77">
            <v>10732.3022292394</v>
          </cell>
          <cell r="J77">
            <v>22166.620846971899</v>
          </cell>
          <cell r="K77">
            <v>23317.236376501001</v>
          </cell>
          <cell r="L77">
            <v>33.494621479640699</v>
          </cell>
          <cell r="M77">
            <v>101.94986798177899</v>
          </cell>
          <cell r="N77">
            <v>-10.5384699327128</v>
          </cell>
        </row>
        <row r="78">
          <cell r="B78">
            <v>156102</v>
          </cell>
          <cell r="C78">
            <v>106956</v>
          </cell>
          <cell r="D78">
            <v>24362</v>
          </cell>
          <cell r="G78">
            <v>16199.7325698652</v>
          </cell>
          <cell r="H78">
            <v>7866.7775340324397</v>
          </cell>
          <cell r="J78">
            <v>25038.031268263301</v>
          </cell>
          <cell r="K78">
            <v>23399.0832612784</v>
          </cell>
          <cell r="L78">
            <v>38.042016991478697</v>
          </cell>
          <cell r="M78">
            <v>96.383968572580102</v>
          </cell>
          <cell r="N78">
            <v>-10.166832873760701</v>
          </cell>
        </row>
        <row r="79">
          <cell r="B79">
            <v>151977</v>
          </cell>
          <cell r="C79">
            <v>98306</v>
          </cell>
          <cell r="D79">
            <v>21274</v>
          </cell>
          <cell r="G79">
            <v>15332.7713339236</v>
          </cell>
          <cell r="H79">
            <v>6513.6917981788602</v>
          </cell>
          <cell r="J79">
            <v>28277.2965072078</v>
          </cell>
          <cell r="K79">
            <v>17695.816151637599</v>
          </cell>
          <cell r="L79">
            <v>57.850278671974799</v>
          </cell>
          <cell r="M79">
            <v>84.811776527161499</v>
          </cell>
          <cell r="N79">
            <v>-6.3570435681239896</v>
          </cell>
        </row>
        <row r="80">
          <cell r="B80">
            <v>158249.39268461699</v>
          </cell>
          <cell r="C80">
            <v>96824.853729439303</v>
          </cell>
          <cell r="D80">
            <v>19142.6509982028</v>
          </cell>
          <cell r="G80">
            <v>16313.1799424766</v>
          </cell>
          <cell r="H80">
            <v>7315.3211564405901</v>
          </cell>
          <cell r="J80">
            <v>32462.338218863199</v>
          </cell>
          <cell r="K80">
            <v>17276.782976501301</v>
          </cell>
          <cell r="L80">
            <v>67.697525627072395</v>
          </cell>
          <cell r="M80">
            <v>104.01066964734601</v>
          </cell>
          <cell r="N80">
            <v>-1.0949856146800101</v>
          </cell>
        </row>
        <row r="81">
          <cell r="B81">
            <v>167596</v>
          </cell>
          <cell r="C81">
            <v>104622</v>
          </cell>
          <cell r="D81">
            <v>24185</v>
          </cell>
          <cell r="G81">
            <v>21770.131577270298</v>
          </cell>
          <cell r="H81">
            <v>9677.50569937209</v>
          </cell>
          <cell r="J81">
            <v>29746.6309091638</v>
          </cell>
          <cell r="K81">
            <v>25249.2828080617</v>
          </cell>
          <cell r="L81">
            <v>59.160564624096402</v>
          </cell>
          <cell r="M81">
            <v>105.52716156003601</v>
          </cell>
          <cell r="N81">
            <v>-4.6413614556337501</v>
          </cell>
        </row>
        <row r="82">
          <cell r="B82">
            <v>176901</v>
          </cell>
          <cell r="C82">
            <v>112440</v>
          </cell>
          <cell r="D82">
            <v>23736</v>
          </cell>
          <cell r="G82">
            <v>25700.058048455299</v>
          </cell>
          <cell r="H82">
            <v>12045.355405660101</v>
          </cell>
          <cell r="J82">
            <v>28972.574632310101</v>
          </cell>
          <cell r="K82">
            <v>29899.554203957799</v>
          </cell>
          <cell r="L82">
            <v>75.417682049487993</v>
          </cell>
          <cell r="M82">
            <v>93.533127250013806</v>
          </cell>
          <cell r="N82">
            <v>-8.0496307939807501</v>
          </cell>
        </row>
        <row r="83">
          <cell r="B83">
            <v>176507</v>
          </cell>
          <cell r="C83">
            <v>109726</v>
          </cell>
          <cell r="D83">
            <v>25954</v>
          </cell>
          <cell r="G83">
            <v>23834.864735232401</v>
          </cell>
          <cell r="H83">
            <v>12474.9999850356</v>
          </cell>
          <cell r="J83">
            <v>31855.995826740502</v>
          </cell>
          <cell r="K83">
            <v>29973.406807528001</v>
          </cell>
          <cell r="L83">
            <v>64.459661110174295</v>
          </cell>
          <cell r="M83">
            <v>88.178437059040803</v>
          </cell>
          <cell r="N83">
            <v>-8.8886454742081007</v>
          </cell>
        </row>
        <row r="84">
          <cell r="B84">
            <v>158136</v>
          </cell>
          <cell r="C84">
            <v>103589</v>
          </cell>
          <cell r="D84">
            <v>23837</v>
          </cell>
          <cell r="G84">
            <v>14650.5597504783</v>
          </cell>
          <cell r="H84">
            <v>10982.5377432595</v>
          </cell>
          <cell r="J84">
            <v>28197.166310020599</v>
          </cell>
          <cell r="K84">
            <v>22883.551598861101</v>
          </cell>
          <cell r="L84">
            <v>111.14928139545999</v>
          </cell>
          <cell r="M84">
            <v>93.251549797749703</v>
          </cell>
          <cell r="N84">
            <v>-11.628644238228301</v>
          </cell>
        </row>
        <row r="85">
          <cell r="B85">
            <v>163842</v>
          </cell>
          <cell r="C85">
            <v>106445</v>
          </cell>
          <cell r="D85">
            <v>22270</v>
          </cell>
          <cell r="G85">
            <v>13639.133812538799</v>
          </cell>
          <cell r="H85">
            <v>11065.0832430831</v>
          </cell>
          <cell r="J85">
            <v>30287.830917576001</v>
          </cell>
          <cell r="K85">
            <v>19262.2265587244</v>
          </cell>
          <cell r="L85">
            <v>110.209023300716</v>
          </cell>
          <cell r="M85">
            <v>88.9262691320654</v>
          </cell>
          <cell r="N85">
            <v>-7.8672387362142198</v>
          </cell>
        </row>
        <row r="86">
          <cell r="B86">
            <v>167219</v>
          </cell>
          <cell r="C86">
            <v>108307</v>
          </cell>
          <cell r="D86">
            <v>23252</v>
          </cell>
          <cell r="G86">
            <v>12079.386562682599</v>
          </cell>
          <cell r="H86">
            <v>8937.3371013662199</v>
          </cell>
          <cell r="J86">
            <v>31534.444278796898</v>
          </cell>
          <cell r="K86">
            <v>16695.6360866912</v>
          </cell>
          <cell r="L86">
            <v>163.39806898348601</v>
          </cell>
          <cell r="M86">
            <v>84.147039177086796</v>
          </cell>
          <cell r="N86">
            <v>-3.6964130295808699</v>
          </cell>
        </row>
        <row r="87">
          <cell r="B87">
            <v>182981</v>
          </cell>
          <cell r="C87">
            <v>124563</v>
          </cell>
          <cell r="D87">
            <v>25101</v>
          </cell>
          <cell r="G87">
            <v>16802.118982266002</v>
          </cell>
          <cell r="H87">
            <v>8522.6266052113897</v>
          </cell>
          <cell r="J87">
            <v>27328.167079234001</v>
          </cell>
          <cell r="K87">
            <v>20459.339699247201</v>
          </cell>
          <cell r="L87">
            <v>77.921333073599698</v>
          </cell>
          <cell r="M87">
            <v>73.383888219721499</v>
          </cell>
          <cell r="N87">
            <v>-7.7759323851715898</v>
          </cell>
        </row>
        <row r="88">
          <cell r="B88">
            <v>200778</v>
          </cell>
          <cell r="C88">
            <v>138641</v>
          </cell>
          <cell r="D88">
            <v>26538</v>
          </cell>
          <cell r="G88">
            <v>21260.457573072599</v>
          </cell>
          <cell r="H88">
            <v>8111.8714347220903</v>
          </cell>
          <cell r="J88">
            <v>26350.919024298801</v>
          </cell>
          <cell r="K88">
            <v>22928.737310486398</v>
          </cell>
          <cell r="L88">
            <v>85.846328999726097</v>
          </cell>
          <cell r="M88">
            <v>73.259583523839197</v>
          </cell>
          <cell r="N88">
            <v>-10.149342244443201</v>
          </cell>
        </row>
        <row r="89">
          <cell r="B89">
            <v>181822</v>
          </cell>
          <cell r="C89">
            <v>127082</v>
          </cell>
          <cell r="D89">
            <v>22354</v>
          </cell>
          <cell r="G89">
            <v>19321.401560021601</v>
          </cell>
          <cell r="H89">
            <v>5518.4006642394197</v>
          </cell>
          <cell r="J89">
            <v>24600.634683510802</v>
          </cell>
          <cell r="K89">
            <v>20618.902967117301</v>
          </cell>
          <cell r="L89">
            <v>666.95535725769105</v>
          </cell>
          <cell r="M89">
            <v>76.427721234923993</v>
          </cell>
          <cell r="N89">
            <v>-11.5487253543713</v>
          </cell>
        </row>
        <row r="90">
          <cell r="B90">
            <v>159436</v>
          </cell>
          <cell r="C90">
            <v>106319</v>
          </cell>
          <cell r="D90">
            <v>18091</v>
          </cell>
          <cell r="G90">
            <v>15242.3031464015</v>
          </cell>
          <cell r="H90">
            <v>6375.73066187728</v>
          </cell>
          <cell r="J90">
            <v>29218.008032916099</v>
          </cell>
          <cell r="K90">
            <v>16939.878814265099</v>
          </cell>
          <cell r="L90">
            <v>3398.2717762109601</v>
          </cell>
          <cell r="M90">
            <v>71.447143028059003</v>
          </cell>
          <cell r="N90">
            <v>-11.298822678730801</v>
          </cell>
        </row>
        <row r="91">
          <cell r="B91">
            <v>151492</v>
          </cell>
          <cell r="C91">
            <v>105735</v>
          </cell>
          <cell r="D91">
            <v>16249</v>
          </cell>
          <cell r="G91">
            <v>17158.888840233201</v>
          </cell>
          <cell r="H91">
            <v>4663.8955254242401</v>
          </cell>
          <cell r="J91">
            <v>25796.964227742999</v>
          </cell>
          <cell r="K91">
            <v>19000.562170498</v>
          </cell>
          <cell r="L91">
            <v>7481.6910566278002</v>
          </cell>
          <cell r="M91">
            <v>65.461267851734604</v>
          </cell>
          <cell r="N91">
            <v>-8.9315470525193401</v>
          </cell>
        </row>
        <row r="92">
          <cell r="B92">
            <v>154854</v>
          </cell>
          <cell r="C92">
            <v>109665</v>
          </cell>
          <cell r="D92">
            <v>16568</v>
          </cell>
          <cell r="G92">
            <v>17154.398519361501</v>
          </cell>
          <cell r="H92">
            <v>5072.5970013440001</v>
          </cell>
          <cell r="J92">
            <v>27297.066856445301</v>
          </cell>
          <cell r="K92">
            <v>22218.518734299101</v>
          </cell>
          <cell r="L92">
            <v>409.52795302911699</v>
          </cell>
          <cell r="M92">
            <v>62.490386270081302</v>
          </cell>
          <cell r="N92">
            <v>-2.9213871310978701</v>
          </cell>
        </row>
        <row r="93">
          <cell r="B93">
            <v>154017</v>
          </cell>
          <cell r="C93">
            <v>108852</v>
          </cell>
          <cell r="D93">
            <v>17037</v>
          </cell>
          <cell r="G93">
            <v>16450.267459983999</v>
          </cell>
          <cell r="H93">
            <v>6095.6483800600499</v>
          </cell>
          <cell r="J93">
            <v>28481.516326355199</v>
          </cell>
          <cell r="K93">
            <v>24205.115739831199</v>
          </cell>
          <cell r="L93">
            <v>73.528624690568194</v>
          </cell>
          <cell r="M93">
            <v>60.891113928377202</v>
          </cell>
          <cell r="N93">
            <v>-3.9885651152997301</v>
          </cell>
        </row>
        <row r="94">
          <cell r="B94">
            <v>162093</v>
          </cell>
          <cell r="C94">
            <v>113680</v>
          </cell>
          <cell r="D94">
            <v>17563</v>
          </cell>
          <cell r="G94">
            <v>18028.443502818802</v>
          </cell>
          <cell r="H94">
            <v>7112.5693984550398</v>
          </cell>
          <cell r="J94">
            <v>29370.9082005733</v>
          </cell>
          <cell r="K94">
            <v>25101.737430307501</v>
          </cell>
          <cell r="L94">
            <v>48.579808599863199</v>
          </cell>
          <cell r="M94">
            <v>54.684787285955501</v>
          </cell>
          <cell r="N94">
            <v>-3.1338685380548301</v>
          </cell>
        </row>
        <row r="95">
          <cell r="B95">
            <v>182043.67132020701</v>
          </cell>
          <cell r="C95">
            <v>124433</v>
          </cell>
          <cell r="D95">
            <v>19086</v>
          </cell>
          <cell r="G95">
            <v>25088</v>
          </cell>
          <cell r="H95">
            <v>9264.4085602455998</v>
          </cell>
          <cell r="J95">
            <v>37496.6220846492</v>
          </cell>
          <cell r="K95">
            <v>31789.458450268899</v>
          </cell>
          <cell r="L95">
            <v>23.7345297387002</v>
          </cell>
          <cell r="M95">
            <v>55.3995333674318</v>
          </cell>
          <cell r="N95">
            <v>-2.91235174308158</v>
          </cell>
        </row>
        <row r="96">
          <cell r="B96">
            <v>195535.99143694001</v>
          </cell>
          <cell r="C96">
            <v>136275</v>
          </cell>
          <cell r="D96">
            <v>20708</v>
          </cell>
          <cell r="G96">
            <v>31946</v>
          </cell>
          <cell r="H96">
            <v>9139.7935371470794</v>
          </cell>
          <cell r="J96">
            <v>39743.474059778797</v>
          </cell>
          <cell r="K96">
            <v>40395.547648081898</v>
          </cell>
          <cell r="L96">
            <v>11.1305038491736</v>
          </cell>
          <cell r="M96">
            <v>59.467523700459701</v>
          </cell>
          <cell r="N96">
            <v>-3.3684494040105002</v>
          </cell>
        </row>
        <row r="97">
          <cell r="B97">
            <v>201009.28972401601</v>
          </cell>
          <cell r="C97">
            <v>139501</v>
          </cell>
          <cell r="D97">
            <v>21619</v>
          </cell>
          <cell r="G97">
            <v>31247</v>
          </cell>
          <cell r="H97">
            <v>8871.6283571220192</v>
          </cell>
          <cell r="J97">
            <v>42912.509432402301</v>
          </cell>
          <cell r="K97">
            <v>40449.768852201203</v>
          </cell>
          <cell r="L97">
            <v>11.549051488418201</v>
          </cell>
          <cell r="M97">
            <v>57.749703609609703</v>
          </cell>
          <cell r="N97">
            <v>-1.1355521647229601</v>
          </cell>
        </row>
        <row r="98">
          <cell r="B98">
            <v>214028.29138905701</v>
          </cell>
          <cell r="C98">
            <v>144555</v>
          </cell>
          <cell r="D98">
            <v>23262</v>
          </cell>
          <cell r="G98">
            <v>36241</v>
          </cell>
          <cell r="H98">
            <v>10147.5099477358</v>
          </cell>
          <cell r="J98">
            <v>48021.024531212999</v>
          </cell>
          <cell r="K98">
            <v>45370.358754528803</v>
          </cell>
          <cell r="L98">
            <v>8.5466944098351103</v>
          </cell>
          <cell r="M98">
            <v>62.381992279604297</v>
          </cell>
          <cell r="N98">
            <v>6.7740855376756601E-2</v>
          </cell>
        </row>
        <row r="99">
          <cell r="B99">
            <v>213189.99339258901</v>
          </cell>
          <cell r="C99">
            <v>141698</v>
          </cell>
          <cell r="D99">
            <v>23844</v>
          </cell>
          <cell r="G99">
            <v>35373</v>
          </cell>
          <cell r="H99">
            <v>10861.013547287101</v>
          </cell>
          <cell r="J99">
            <v>50793.4782202567</v>
          </cell>
          <cell r="K99">
            <v>46423.946697656298</v>
          </cell>
          <cell r="L99">
            <v>7.2549595800412003</v>
          </cell>
          <cell r="M99">
            <v>60.7926960569404</v>
          </cell>
          <cell r="N99">
            <v>-1.0380399522835799</v>
          </cell>
        </row>
        <row r="100">
          <cell r="B100">
            <v>216376.74063051399</v>
          </cell>
          <cell r="C100">
            <v>139666</v>
          </cell>
          <cell r="D100">
            <v>24679</v>
          </cell>
          <cell r="G100">
            <v>29981</v>
          </cell>
          <cell r="H100">
            <v>12006.411901314999</v>
          </cell>
          <cell r="J100">
            <v>54616.405168889403</v>
          </cell>
          <cell r="K100">
            <v>39381.396406687003</v>
          </cell>
          <cell r="L100">
            <v>3.4693214017810399</v>
          </cell>
          <cell r="M100">
            <v>57.383984356018203</v>
          </cell>
          <cell r="N100">
            <v>-3.4131187655889899</v>
          </cell>
        </row>
        <row r="101">
          <cell r="B101">
            <v>222206.70734869401</v>
          </cell>
          <cell r="C101">
            <v>143191</v>
          </cell>
          <cell r="D101">
            <v>25444</v>
          </cell>
          <cell r="G101">
            <v>29461</v>
          </cell>
          <cell r="H101">
            <v>10202.482054419401</v>
          </cell>
          <cell r="J101">
            <v>58430.3117272456</v>
          </cell>
          <cell r="K101">
            <v>40893.431391833001</v>
          </cell>
          <cell r="L101">
            <v>3.75854207371682</v>
          </cell>
          <cell r="M101">
            <v>56.589362066264499</v>
          </cell>
          <cell r="N101">
            <v>-3.4301267084033</v>
          </cell>
        </row>
        <row r="102">
          <cell r="B102">
            <v>223579.57575061801</v>
          </cell>
          <cell r="C102">
            <v>144629</v>
          </cell>
          <cell r="D102">
            <v>25240</v>
          </cell>
          <cell r="G102">
            <v>28089</v>
          </cell>
          <cell r="H102">
            <v>7794.0631770844302</v>
          </cell>
          <cell r="J102">
            <v>62203.309887161398</v>
          </cell>
          <cell r="K102">
            <v>42072.875868506002</v>
          </cell>
          <cell r="L102">
            <v>1.9753909200396</v>
          </cell>
          <cell r="M102">
            <v>56.306388745194504</v>
          </cell>
          <cell r="N102">
            <v>-2.8210339361979799</v>
          </cell>
        </row>
        <row r="103">
          <cell r="B103">
            <v>235772.94712897899</v>
          </cell>
          <cell r="C103">
            <v>151674</v>
          </cell>
          <cell r="D103">
            <v>25240</v>
          </cell>
          <cell r="G103">
            <v>28145</v>
          </cell>
          <cell r="H103">
            <v>7312.8528627129799</v>
          </cell>
          <cell r="J103">
            <v>66394.518112431397</v>
          </cell>
          <cell r="K103">
            <v>43049.094741793102</v>
          </cell>
          <cell r="L103">
            <v>0.191899419690927</v>
          </cell>
          <cell r="M103">
            <v>60.368682638436503</v>
          </cell>
          <cell r="N103">
            <v>-2.3130106957643402</v>
          </cell>
        </row>
        <row r="104">
          <cell r="B104">
            <v>245592.61375299</v>
          </cell>
          <cell r="C104">
            <v>155487</v>
          </cell>
          <cell r="D104">
            <v>26224</v>
          </cell>
          <cell r="G104">
            <v>29915</v>
          </cell>
          <cell r="H104">
            <v>7478.7103183848103</v>
          </cell>
          <cell r="J104">
            <v>70291.041948826096</v>
          </cell>
          <cell r="K104">
            <v>44844.833829537602</v>
          </cell>
          <cell r="L104">
            <v>2.26122497417404</v>
          </cell>
          <cell r="M104">
            <v>61.320501584709</v>
          </cell>
          <cell r="N104">
            <v>-1.7535507407502999</v>
          </cell>
        </row>
        <row r="105">
          <cell r="B105">
            <v>257769.78623307301</v>
          </cell>
          <cell r="C105">
            <v>160769</v>
          </cell>
          <cell r="D105">
            <v>27299</v>
          </cell>
          <cell r="G105">
            <v>32335</v>
          </cell>
          <cell r="H105">
            <v>7466.5155602196901</v>
          </cell>
          <cell r="J105">
            <v>80806.916596978801</v>
          </cell>
          <cell r="K105">
            <v>49131.223855345997</v>
          </cell>
          <cell r="L105">
            <v>3.6615457550766499</v>
          </cell>
          <cell r="M105">
            <v>69.251358181225697</v>
          </cell>
          <cell r="N105">
            <v>-1.1332905162353699</v>
          </cell>
        </row>
        <row r="106">
          <cell r="B106">
            <v>273971.15388679103</v>
          </cell>
          <cell r="C106">
            <v>166654</v>
          </cell>
          <cell r="D106">
            <v>29783</v>
          </cell>
          <cell r="G106">
            <v>36217</v>
          </cell>
          <cell r="H106">
            <v>8224.4490672870197</v>
          </cell>
          <cell r="J106">
            <v>93127.940363338494</v>
          </cell>
          <cell r="K106">
            <v>54471.332701410298</v>
          </cell>
          <cell r="L106">
            <v>1.61769855619021</v>
          </cell>
          <cell r="M106">
            <v>73.157291511565006</v>
          </cell>
          <cell r="N106">
            <v>-0.35545606552201697</v>
          </cell>
        </row>
        <row r="107">
          <cell r="B107">
            <v>294597.830810429</v>
          </cell>
          <cell r="C107">
            <v>177006</v>
          </cell>
          <cell r="D107">
            <v>32046</v>
          </cell>
          <cell r="G107">
            <v>43482</v>
          </cell>
          <cell r="H107">
            <v>9664.7646255080508</v>
          </cell>
          <cell r="J107">
            <v>92696.148026751995</v>
          </cell>
          <cell r="K107">
            <v>61587.309504185803</v>
          </cell>
          <cell r="L107">
            <v>2.0013815345936798</v>
          </cell>
          <cell r="M107">
            <v>94.170547063066707</v>
          </cell>
          <cell r="N107">
            <v>2.4662206688956099</v>
          </cell>
        </row>
        <row r="108">
          <cell r="B108">
            <v>319693</v>
          </cell>
          <cell r="C108">
            <v>192316</v>
          </cell>
          <cell r="D108">
            <v>33424</v>
          </cell>
          <cell r="G108">
            <v>53625.998888904403</v>
          </cell>
          <cell r="H108">
            <v>11321.7164174155</v>
          </cell>
          <cell r="J108">
            <v>97501.431317828799</v>
          </cell>
          <cell r="K108">
            <v>74736.183578442593</v>
          </cell>
          <cell r="L108">
            <v>1.7786825621340501</v>
          </cell>
          <cell r="M108">
            <v>100</v>
          </cell>
          <cell r="N108">
            <v>3.0650127095438902</v>
          </cell>
        </row>
        <row r="109">
          <cell r="B109">
            <v>348870.00004491099</v>
          </cell>
          <cell r="C109">
            <v>209428.39583893801</v>
          </cell>
          <cell r="D109">
            <v>35196.529298016299</v>
          </cell>
          <cell r="G109">
            <v>66440.200025131795</v>
          </cell>
          <cell r="H109">
            <v>14356.134867234099</v>
          </cell>
          <cell r="J109">
            <v>105772.46661881699</v>
          </cell>
          <cell r="K109">
            <v>91359.016188571899</v>
          </cell>
          <cell r="L109">
            <v>5.7878808324570503</v>
          </cell>
          <cell r="M109">
            <v>86.961134249834501</v>
          </cell>
          <cell r="N109">
            <v>2.5258152494006998</v>
          </cell>
        </row>
        <row r="110">
          <cell r="B110">
            <v>352693.000050442</v>
          </cell>
          <cell r="C110">
            <v>215863.00305924</v>
          </cell>
          <cell r="D110">
            <v>39900.939137178</v>
          </cell>
          <cell r="G110">
            <v>60565.1919156886</v>
          </cell>
          <cell r="H110">
            <v>19122.281875249701</v>
          </cell>
          <cell r="J110">
            <v>104397.966924792</v>
          </cell>
          <cell r="K110">
            <v>79140.036827922202</v>
          </cell>
          <cell r="L110">
            <v>2.9353447267621098</v>
          </cell>
          <cell r="M110">
            <v>86.948767986218201</v>
          </cell>
          <cell r="N110">
            <v>-1.28633315092385</v>
          </cell>
        </row>
        <row r="111">
          <cell r="B111">
            <v>382081.00000045</v>
          </cell>
          <cell r="C111">
            <v>235507.844270239</v>
          </cell>
          <cell r="D111">
            <v>41767.796193394599</v>
          </cell>
          <cell r="G111">
            <v>75789.747795359101</v>
          </cell>
          <cell r="H111">
            <v>21965.4208046229</v>
          </cell>
          <cell r="J111">
            <v>105766.79436515699</v>
          </cell>
          <cell r="K111">
            <v>98061.697699250697</v>
          </cell>
          <cell r="L111">
            <v>1.52952730656656</v>
          </cell>
          <cell r="M111">
            <v>103.937496172211</v>
          </cell>
          <cell r="N111">
            <v>-0.17518334835393601</v>
          </cell>
        </row>
        <row r="112">
          <cell r="B112">
            <v>406256.00001109199</v>
          </cell>
          <cell r="C112">
            <v>252468.34728016099</v>
          </cell>
          <cell r="D112">
            <v>44478.035506459797</v>
          </cell>
          <cell r="G112">
            <v>84461.645877517905</v>
          </cell>
          <cell r="H112">
            <v>19508.979683441801</v>
          </cell>
          <cell r="J112">
            <v>112498.95253458701</v>
          </cell>
          <cell r="K112">
            <v>107231.201566498</v>
          </cell>
          <cell r="L112">
            <v>3.3696654863748599</v>
          </cell>
          <cell r="M112">
            <v>109.88901750139399</v>
          </cell>
          <cell r="N112">
            <v>2.0805417109542601</v>
          </cell>
        </row>
        <row r="113">
          <cell r="B113">
            <v>431199.00003767299</v>
          </cell>
          <cell r="C113">
            <v>271240.36201272899</v>
          </cell>
          <cell r="D113">
            <v>48650.943564140201</v>
          </cell>
          <cell r="G113">
            <v>97669.113540927196</v>
          </cell>
          <cell r="H113">
            <v>23298.575684325901</v>
          </cell>
          <cell r="J113">
            <v>119277.840278672</v>
          </cell>
          <cell r="K113">
            <v>120964.160320856</v>
          </cell>
          <cell r="L113">
            <v>3.6554139094222502</v>
          </cell>
          <cell r="M113">
            <v>108.000505578814</v>
          </cell>
          <cell r="N113">
            <v>2.2731265809592802</v>
          </cell>
        </row>
        <row r="114">
          <cell r="B114">
            <v>456435.000032446</v>
          </cell>
          <cell r="C114">
            <v>286789.03269387298</v>
          </cell>
          <cell r="D114">
            <v>52501.6938171367</v>
          </cell>
          <cell r="G114">
            <v>104546.013065675</v>
          </cell>
          <cell r="H114">
            <v>25880.008291053298</v>
          </cell>
          <cell r="J114">
            <v>118177.09395660499</v>
          </cell>
          <cell r="K114">
            <v>126805.305101708</v>
          </cell>
          <cell r="L114">
            <v>2.8058274546629298</v>
          </cell>
          <cell r="M114">
            <v>102.10306501645999</v>
          </cell>
          <cell r="N114">
            <v>0.88421903723390505</v>
          </cell>
        </row>
        <row r="115">
          <cell r="B115">
            <v>467308.00008253101</v>
          </cell>
          <cell r="C115">
            <v>298900.54220575199</v>
          </cell>
          <cell r="D115">
            <v>55783.828614714002</v>
          </cell>
          <cell r="G115">
            <v>102616.22092331501</v>
          </cell>
          <cell r="H115">
            <v>25121.5940660632</v>
          </cell>
          <cell r="J115">
            <v>116422.048791958</v>
          </cell>
          <cell r="K115">
            <v>126405.444289134</v>
          </cell>
          <cell r="L115">
            <v>3.2459610352057102</v>
          </cell>
          <cell r="M115">
            <v>97.624271483551098</v>
          </cell>
          <cell r="N115">
            <v>-0.25158341739426099</v>
          </cell>
        </row>
        <row r="116">
          <cell r="B116">
            <v>482506.00001308898</v>
          </cell>
          <cell r="C116">
            <v>310911.57568297302</v>
          </cell>
          <cell r="D116">
            <v>61431.237765383099</v>
          </cell>
          <cell r="G116">
            <v>98827.406629982099</v>
          </cell>
          <cell r="H116">
            <v>23394.781848957002</v>
          </cell>
          <cell r="J116">
            <v>119749.99536282801</v>
          </cell>
          <cell r="K116">
            <v>131757.39117020401</v>
          </cell>
          <cell r="L116">
            <v>3.5478487642526901</v>
          </cell>
          <cell r="M116">
            <v>94.156240245415404</v>
          </cell>
          <cell r="N116">
            <v>-1.9160982144965899</v>
          </cell>
        </row>
        <row r="117">
          <cell r="B117">
            <v>501581.00001449097</v>
          </cell>
          <cell r="C117">
            <v>322549.04905794398</v>
          </cell>
          <cell r="D117">
            <v>62615.055264667397</v>
          </cell>
          <cell r="G117">
            <v>94560.436872809805</v>
          </cell>
          <cell r="H117">
            <v>23455.035216746801</v>
          </cell>
          <cell r="J117">
            <v>130455.038343739</v>
          </cell>
          <cell r="K117">
            <v>133098.69475100501</v>
          </cell>
          <cell r="L117">
            <v>3.5930838949936299</v>
          </cell>
          <cell r="M117">
            <v>97.358356872290202</v>
          </cell>
          <cell r="N117">
            <v>-2.3167849901890198</v>
          </cell>
        </row>
        <row r="118">
          <cell r="B118">
            <v>514215.00007192302</v>
          </cell>
          <cell r="C118">
            <v>331078.484093823</v>
          </cell>
          <cell r="D118">
            <v>64425.040243703399</v>
          </cell>
          <cell r="G118">
            <v>94418.879956027406</v>
          </cell>
          <cell r="H118">
            <v>23034.4968892537</v>
          </cell>
          <cell r="J118">
            <v>139644.87885329899</v>
          </cell>
          <cell r="K118">
            <v>138036.171235274</v>
          </cell>
          <cell r="L118">
            <v>2.80383182342791</v>
          </cell>
          <cell r="M118">
            <v>104.488662671657</v>
          </cell>
          <cell r="N118">
            <v>-2.94758396083343</v>
          </cell>
        </row>
        <row r="119">
          <cell r="B119">
            <v>534626.00004463096</v>
          </cell>
          <cell r="C119">
            <v>343759.91996311297</v>
          </cell>
          <cell r="D119">
            <v>65974.310093196502</v>
          </cell>
          <cell r="G119">
            <v>97850.461157816302</v>
          </cell>
          <cell r="H119">
            <v>24300.457415486999</v>
          </cell>
          <cell r="J119">
            <v>143647.655925189</v>
          </cell>
          <cell r="K119">
            <v>139898.70745298101</v>
          </cell>
          <cell r="L119">
            <v>1.3167105478321199</v>
          </cell>
          <cell r="M119">
            <v>101.975670682691</v>
          </cell>
          <cell r="N119">
            <v>-2.26351327831722</v>
          </cell>
        </row>
        <row r="120">
          <cell r="B120">
            <v>546605.00005276897</v>
          </cell>
          <cell r="C120">
            <v>354912.868779685</v>
          </cell>
          <cell r="D120">
            <v>68783.799178008805</v>
          </cell>
          <cell r="G120">
            <v>102879.450769307</v>
          </cell>
          <cell r="H120">
            <v>23930.415211119402</v>
          </cell>
          <cell r="J120">
            <v>145071.947170959</v>
          </cell>
          <cell r="K120">
            <v>144184.10513832801</v>
          </cell>
          <cell r="L120">
            <v>2.1358458196351502</v>
          </cell>
          <cell r="M120">
            <v>103.166335225124</v>
          </cell>
          <cell r="N120">
            <v>-1.59167833281131</v>
          </cell>
        </row>
        <row r="121">
          <cell r="B121">
            <v>486843.00009303202</v>
          </cell>
          <cell r="C121">
            <v>319919</v>
          </cell>
          <cell r="D121">
            <v>74190.507582337494</v>
          </cell>
          <cell r="G121">
            <v>86035.962098133896</v>
          </cell>
          <cell r="H121">
            <v>20325.6635100618</v>
          </cell>
          <cell r="J121">
            <v>116237.58784481201</v>
          </cell>
          <cell r="K121">
            <v>124524.28250636</v>
          </cell>
          <cell r="L121">
            <v>1.82730265249896</v>
          </cell>
          <cell r="M121">
            <v>114.700457984895</v>
          </cell>
          <cell r="N121">
            <v>-8.7109468474185796</v>
          </cell>
        </row>
        <row r="122">
          <cell r="B122">
            <v>552161.00004012405</v>
          </cell>
          <cell r="C122">
            <v>360044</v>
          </cell>
          <cell r="D122">
            <v>77731.280453790707</v>
          </cell>
          <cell r="G122">
            <v>116349.593526415</v>
          </cell>
          <cell r="H122">
            <v>25343.956640047301</v>
          </cell>
          <cell r="J122">
            <v>131093.65586075</v>
          </cell>
          <cell r="K122">
            <v>143543.82553246801</v>
          </cell>
          <cell r="L122">
            <v>3.9790147813012702</v>
          </cell>
          <cell r="M122">
            <v>125.206381221432</v>
          </cell>
          <cell r="N122">
            <v>-2.4842464208306301</v>
          </cell>
        </row>
        <row r="123">
          <cell r="B123">
            <v>567722.00007257506</v>
          </cell>
          <cell r="C123">
            <v>372821</v>
          </cell>
          <cell r="D123">
            <v>77612.202538355195</v>
          </cell>
          <cell r="G123">
            <v>116365.879460494</v>
          </cell>
          <cell r="H123">
            <v>26866.262029470301</v>
          </cell>
          <cell r="J123">
            <v>138316.17220432399</v>
          </cell>
          <cell r="K123">
            <v>148788.29551159</v>
          </cell>
          <cell r="L123">
            <v>7.8772358191569696</v>
          </cell>
          <cell r="M123">
            <v>112.698843970822</v>
          </cell>
          <cell r="N123">
            <v>-1.6766622540252001</v>
          </cell>
        </row>
        <row r="124">
          <cell r="B124">
            <v>565731.00007865694</v>
          </cell>
          <cell r="C124">
            <v>373033.99999999901</v>
          </cell>
          <cell r="D124">
            <v>81431.697654644304</v>
          </cell>
          <cell r="G124">
            <v>109280.691254295</v>
          </cell>
          <cell r="H124">
            <v>27499.827936317601</v>
          </cell>
          <cell r="J124">
            <v>143861.60686526101</v>
          </cell>
          <cell r="K124">
            <v>150061.753288815</v>
          </cell>
          <cell r="L124">
            <v>6.26434064219153</v>
          </cell>
          <cell r="M124">
            <v>121.217142137967</v>
          </cell>
          <cell r="N124">
            <v>-2.7509179145971498</v>
          </cell>
        </row>
        <row r="125">
          <cell r="B125">
            <v>585618.000023389</v>
          </cell>
          <cell r="C125">
            <v>383362</v>
          </cell>
          <cell r="D125">
            <v>83279.285094417704</v>
          </cell>
          <cell r="G125">
            <v>112884.591876723</v>
          </cell>
          <cell r="H125">
            <v>31531.5728820449</v>
          </cell>
          <cell r="J125">
            <v>153540.81939134601</v>
          </cell>
          <cell r="K125">
            <v>162780.09753377299</v>
          </cell>
          <cell r="L125">
            <v>2.3506939187187998</v>
          </cell>
          <cell r="M125">
            <v>136.05617931029599</v>
          </cell>
          <cell r="N125">
            <v>-3.4494744322199402</v>
          </cell>
        </row>
        <row r="126">
          <cell r="B126">
            <v>605788.86403511104</v>
          </cell>
          <cell r="C126">
            <v>397284.31289601198</v>
          </cell>
          <cell r="D126">
            <v>86054.988384423094</v>
          </cell>
          <cell r="G126">
            <v>124148.21748825601</v>
          </cell>
          <cell r="H126">
            <v>33331.106740990697</v>
          </cell>
          <cell r="J126">
            <v>160759.00793621401</v>
          </cell>
          <cell r="K126">
            <v>183356.41589023199</v>
          </cell>
          <cell r="L126">
            <v>1.5010872514741</v>
          </cell>
          <cell r="M126">
            <v>163.119197980694</v>
          </cell>
          <cell r="N126">
            <v>-2.1767174267198302</v>
          </cell>
        </row>
      </sheetData>
      <sheetData sheetId="4">
        <row r="2">
          <cell r="C2">
            <v>4.7908214552589703</v>
          </cell>
          <cell r="F2">
            <v>-1.1964131829642199</v>
          </cell>
          <cell r="I2">
            <v>-2.5958694248566601</v>
          </cell>
          <cell r="L2">
            <v>0.12990074663419801</v>
          </cell>
        </row>
        <row r="3">
          <cell r="C3">
            <v>2.6701506403901001</v>
          </cell>
          <cell r="F3">
            <v>-1.54549842410503</v>
          </cell>
          <cell r="I3">
            <v>-1.2225285966601001</v>
          </cell>
          <cell r="L3">
            <v>0.107286145937201</v>
          </cell>
        </row>
        <row r="4">
          <cell r="C4">
            <v>-0.84008576360355602</v>
          </cell>
          <cell r="F4">
            <v>-1.80497056303574</v>
          </cell>
          <cell r="I4">
            <v>-1.2066329608567801</v>
          </cell>
          <cell r="L4">
            <v>0.26849600369887</v>
          </cell>
        </row>
        <row r="5">
          <cell r="C5">
            <v>-2.0741570204761102</v>
          </cell>
          <cell r="F5">
            <v>-1.9871805938823599</v>
          </cell>
          <cell r="I5">
            <v>-0.79301200704130503</v>
          </cell>
          <cell r="L5">
            <v>0.34229661437426201</v>
          </cell>
        </row>
        <row r="6">
          <cell r="C6">
            <v>2.02641997068207</v>
          </cell>
          <cell r="F6">
            <v>-1.60722587678838</v>
          </cell>
          <cell r="I6">
            <v>-2.23920387331348</v>
          </cell>
          <cell r="L6">
            <v>0.54645819892373404</v>
          </cell>
        </row>
        <row r="7">
          <cell r="C7">
            <v>-0.84146399903465896</v>
          </cell>
          <cell r="F7">
            <v>-2.3407483774268099</v>
          </cell>
          <cell r="I7">
            <v>-3.2870257613131799</v>
          </cell>
          <cell r="L7">
            <v>0.48524948220966901</v>
          </cell>
        </row>
        <row r="8">
          <cell r="C8">
            <v>-1.22649344211086</v>
          </cell>
          <cell r="F8">
            <v>-2.8070319047726802</v>
          </cell>
          <cell r="I8">
            <v>-2.5192808507447801</v>
          </cell>
          <cell r="L8">
            <v>0.62241444981464</v>
          </cell>
        </row>
        <row r="9">
          <cell r="C9">
            <v>-3.6620148969028898</v>
          </cell>
          <cell r="F9">
            <v>-2.90114875527293</v>
          </cell>
          <cell r="I9">
            <v>-2.3965132657932702</v>
          </cell>
          <cell r="L9">
            <v>0.90712077358144405</v>
          </cell>
        </row>
        <row r="10">
          <cell r="C10">
            <v>-2.9820458848919902</v>
          </cell>
          <cell r="F10">
            <v>-2.76621653949922</v>
          </cell>
          <cell r="I10">
            <v>-1.9866571988703201</v>
          </cell>
          <cell r="L10">
            <v>0.83148481075477998</v>
          </cell>
        </row>
        <row r="11">
          <cell r="C11">
            <v>2.3534814079629198</v>
          </cell>
          <cell r="F11">
            <v>-2.4716560286949698</v>
          </cell>
          <cell r="I11">
            <v>-2.6726591460215299</v>
          </cell>
          <cell r="L11">
            <v>0.55177984294484805</v>
          </cell>
        </row>
        <row r="12">
          <cell r="C12">
            <v>4.64469288707018</v>
          </cell>
          <cell r="F12">
            <v>-2.2563544787464198</v>
          </cell>
          <cell r="I12">
            <v>-2.96125741349281</v>
          </cell>
          <cell r="L12">
            <v>0.92626923951247198</v>
          </cell>
        </row>
        <row r="13">
          <cell r="C13">
            <v>3.2635016918865198</v>
          </cell>
          <cell r="F13">
            <v>-2.1649680952369499</v>
          </cell>
          <cell r="I13">
            <v>-2.6676671870837301</v>
          </cell>
          <cell r="L13">
            <v>1.07395897543986</v>
          </cell>
        </row>
        <row r="14">
          <cell r="C14">
            <v>2.66763694448768</v>
          </cell>
          <cell r="F14">
            <v>-2.2650324741029602</v>
          </cell>
          <cell r="I14">
            <v>-2.3051382715369302</v>
          </cell>
          <cell r="L14">
            <v>0.62475003560596198</v>
          </cell>
        </row>
        <row r="15">
          <cell r="C15">
            <v>1.1843114322542001</v>
          </cell>
          <cell r="F15">
            <v>-2.0682780207510998</v>
          </cell>
          <cell r="I15">
            <v>-2.3245200646140201</v>
          </cell>
          <cell r="L15">
            <v>0.60498851638517903</v>
          </cell>
        </row>
        <row r="16">
          <cell r="C16">
            <v>4.4464289847124698</v>
          </cell>
          <cell r="F16">
            <v>-2.5394840038679001</v>
          </cell>
          <cell r="I16">
            <v>-1.9258406649822399</v>
          </cell>
          <cell r="L16">
            <v>0.395476808066198</v>
          </cell>
        </row>
        <row r="17">
          <cell r="C17">
            <v>0.55700202993249603</v>
          </cell>
          <cell r="F17">
            <v>-2.3551732408355899</v>
          </cell>
          <cell r="I17">
            <v>-1.9303942900111499</v>
          </cell>
          <cell r="L17">
            <v>0.539455839339958</v>
          </cell>
        </row>
        <row r="18">
          <cell r="C18">
            <v>-0.42415339536382501</v>
          </cell>
          <cell r="F18">
            <v>-1.9718620614254401</v>
          </cell>
          <cell r="I18">
            <v>-2.39758819825702</v>
          </cell>
          <cell r="L18">
            <v>0.51791874382246506</v>
          </cell>
        </row>
        <row r="19">
          <cell r="C19">
            <v>-1.41077433745329</v>
          </cell>
          <cell r="F19">
            <v>-2.0016159044539199</v>
          </cell>
          <cell r="I19">
            <v>-3.0732011017230101</v>
          </cell>
          <cell r="L19">
            <v>0.61394442638304003</v>
          </cell>
        </row>
        <row r="20">
          <cell r="C20">
            <v>3.79318266258755</v>
          </cell>
          <cell r="F20">
            <v>-2.1140473754393798</v>
          </cell>
          <cell r="I20">
            <v>-3.4362419553771901</v>
          </cell>
          <cell r="L20">
            <v>0.834930278635165</v>
          </cell>
        </row>
        <row r="21">
          <cell r="C21">
            <v>4.4988257512286003</v>
          </cell>
          <cell r="F21">
            <v>-1.34521753295701</v>
          </cell>
          <cell r="I21">
            <v>-3.7641759507251602</v>
          </cell>
          <cell r="L21">
            <v>0.63744640674455399</v>
          </cell>
        </row>
        <row r="22">
          <cell r="C22">
            <v>5.3868911235699102</v>
          </cell>
          <cell r="F22">
            <v>-1.3344435881254699</v>
          </cell>
          <cell r="I22">
            <v>-2.70456163206436</v>
          </cell>
          <cell r="L22">
            <v>1.3134188411523999</v>
          </cell>
        </row>
        <row r="23">
          <cell r="C23">
            <v>2.3710956335920899</v>
          </cell>
          <cell r="F23">
            <v>-1.5965719383432599</v>
          </cell>
          <cell r="I23">
            <v>-2.3204474065453802</v>
          </cell>
          <cell r="L23">
            <v>0.58632946071285696</v>
          </cell>
        </row>
        <row r="24">
          <cell r="C24">
            <v>1.73254353311118</v>
          </cell>
          <cell r="F24">
            <v>-1.0810320168135601</v>
          </cell>
          <cell r="I24">
            <v>-1.99334617140674</v>
          </cell>
          <cell r="L24">
            <v>0.51037479031821897</v>
          </cell>
        </row>
        <row r="25">
          <cell r="C25">
            <v>0.84322628454987703</v>
          </cell>
          <cell r="F25">
            <v>-1.4095050415842301</v>
          </cell>
          <cell r="I25">
            <v>-2.7721510966771401</v>
          </cell>
          <cell r="L25">
            <v>0.44991263069043802</v>
          </cell>
        </row>
        <row r="26">
          <cell r="C26">
            <v>-3.4800212896585001</v>
          </cell>
          <cell r="F26">
            <v>-2.0990801911395098</v>
          </cell>
          <cell r="I26">
            <v>-2.8122559605444102</v>
          </cell>
          <cell r="L26">
            <v>0.39759480821489901</v>
          </cell>
        </row>
        <row r="27">
          <cell r="C27">
            <v>-8.1034584189304901</v>
          </cell>
          <cell r="F27">
            <v>-1.7512968744208799</v>
          </cell>
          <cell r="I27">
            <v>-2.3375360823837998</v>
          </cell>
          <cell r="L27">
            <v>0.57139770902715004</v>
          </cell>
        </row>
        <row r="28">
          <cell r="C28">
            <v>-5.0873166853857299</v>
          </cell>
          <cell r="F28">
            <v>-0.81003405555992902</v>
          </cell>
          <cell r="I28">
            <v>-3.10386881102403</v>
          </cell>
          <cell r="L28">
            <v>0.62077376220480596</v>
          </cell>
        </row>
        <row r="29">
          <cell r="C29">
            <v>-3.3727995333504199</v>
          </cell>
          <cell r="F29">
            <v>-0.24183553059395901</v>
          </cell>
          <cell r="I29">
            <v>-3.8048790146782898</v>
          </cell>
          <cell r="L29">
            <v>0.83836317272572503</v>
          </cell>
        </row>
        <row r="30">
          <cell r="C30">
            <v>3.4637754321624401</v>
          </cell>
          <cell r="F30">
            <v>-0.16850799399709199</v>
          </cell>
          <cell r="I30">
            <v>-6.0475646734511797</v>
          </cell>
          <cell r="L30">
            <v>1.21700217886788</v>
          </cell>
        </row>
        <row r="31">
          <cell r="C31">
            <v>12.444615458871199</v>
          </cell>
          <cell r="F31">
            <v>-0.22844506564726699</v>
          </cell>
          <cell r="I31">
            <v>-6.5642702505433803</v>
          </cell>
          <cell r="L31">
            <v>1.07171759192545</v>
          </cell>
        </row>
        <row r="32">
          <cell r="C32">
            <v>4.9227394627285603</v>
          </cell>
          <cell r="F32">
            <v>-1.7747345939789001</v>
          </cell>
          <cell r="I32">
            <v>-5.8306555022156203</v>
          </cell>
          <cell r="L32">
            <v>0.42914058918013098</v>
          </cell>
        </row>
        <row r="33">
          <cell r="C33">
            <v>-2.2560631891897498</v>
          </cell>
          <cell r="F33">
            <v>-3.1279551965172598</v>
          </cell>
          <cell r="I33">
            <v>-5.4758337884993598</v>
          </cell>
          <cell r="L33">
            <v>0.40797140457974601</v>
          </cell>
        </row>
        <row r="34">
          <cell r="C34">
            <v>-1.78887569700211</v>
          </cell>
          <cell r="F34">
            <v>-2.9120456959615999</v>
          </cell>
          <cell r="I34">
            <v>-5.4647446675499198</v>
          </cell>
          <cell r="L34">
            <v>0.42506866364905999</v>
          </cell>
        </row>
        <row r="35">
          <cell r="C35">
            <v>1.8851802661082799</v>
          </cell>
          <cell r="F35">
            <v>-1.56516430817965</v>
          </cell>
          <cell r="I35">
            <v>-7.4612602901129597</v>
          </cell>
          <cell r="L35">
            <v>0.69224201696411003</v>
          </cell>
        </row>
        <row r="36">
          <cell r="C36">
            <v>6.0523263600722697</v>
          </cell>
          <cell r="F36">
            <v>-1.4899059527662799</v>
          </cell>
          <cell r="I36">
            <v>-6.8654148446546497</v>
          </cell>
          <cell r="L36">
            <v>0.67457397507776795</v>
          </cell>
        </row>
        <row r="37">
          <cell r="C37">
            <v>8.2610907961690607</v>
          </cell>
          <cell r="F37">
            <v>-1.5725336470445099</v>
          </cell>
          <cell r="I37">
            <v>-7.8008460792355798</v>
          </cell>
          <cell r="L37">
            <v>0.62858482343965505</v>
          </cell>
        </row>
        <row r="38">
          <cell r="C38">
            <v>-0.37687253683587602</v>
          </cell>
          <cell r="F38">
            <v>-1.629401256413</v>
          </cell>
          <cell r="I38">
            <v>-5.7832482919877801</v>
          </cell>
          <cell r="L38">
            <v>0.550434549045974</v>
          </cell>
        </row>
        <row r="39">
          <cell r="C39">
            <v>-1.82374398951252</v>
          </cell>
          <cell r="F39">
            <v>-1.3476132088116699</v>
          </cell>
          <cell r="I39">
            <v>-4.7710109222406398</v>
          </cell>
          <cell r="L39">
            <v>0.429223891321527</v>
          </cell>
        </row>
        <row r="40">
          <cell r="C40">
            <v>-0.64461030671539399</v>
          </cell>
          <cell r="F40">
            <v>-1.47733713269669</v>
          </cell>
          <cell r="I40">
            <v>-6.7253125045045801</v>
          </cell>
          <cell r="L40">
            <v>0.72184055992253005</v>
          </cell>
        </row>
        <row r="41">
          <cell r="C41">
            <v>4.8083968656461096</v>
          </cell>
          <cell r="F41">
            <v>-1.21485876204159</v>
          </cell>
          <cell r="I41">
            <v>-6.6595622770483498</v>
          </cell>
          <cell r="L41">
            <v>0.69465388532574701</v>
          </cell>
        </row>
        <row r="42">
          <cell r="C42">
            <v>1.21705148098606</v>
          </cell>
          <cell r="F42">
            <v>-1.24108240662687</v>
          </cell>
          <cell r="I42">
            <v>-5.8927316575834796</v>
          </cell>
          <cell r="L42">
            <v>0.95428565265861298</v>
          </cell>
        </row>
        <row r="43">
          <cell r="C43">
            <v>-0.60363785868945397</v>
          </cell>
          <cell r="F43">
            <v>-1.2321357862892299</v>
          </cell>
          <cell r="I43">
            <v>-4.0922290920851001</v>
          </cell>
          <cell r="L43">
            <v>1.3932935189143201</v>
          </cell>
        </row>
        <row r="44">
          <cell r="C44">
            <v>-1.18821165029753</v>
          </cell>
          <cell r="F44">
            <v>-1.5700604462435801</v>
          </cell>
          <cell r="I44">
            <v>-3.9067773139974999</v>
          </cell>
          <cell r="L44">
            <v>1.2866434197707901</v>
          </cell>
        </row>
        <row r="45">
          <cell r="C45">
            <v>-2.2709046753916899</v>
          </cell>
          <cell r="F45">
            <v>-1.6097886862355499</v>
          </cell>
          <cell r="I45">
            <v>-4.8894180904016702</v>
          </cell>
          <cell r="L45">
            <v>1.5563314516783699</v>
          </cell>
        </row>
        <row r="46">
          <cell r="C46">
            <v>-2.5165202231092501</v>
          </cell>
          <cell r="F46">
            <v>-1.1007821867159899</v>
          </cell>
          <cell r="I46">
            <v>-4.5501171725190899</v>
          </cell>
          <cell r="L46">
            <v>1.84440661936127</v>
          </cell>
        </row>
        <row r="47">
          <cell r="C47">
            <v>-4.3602599306917602</v>
          </cell>
          <cell r="F47">
            <v>-1.4263488600254099</v>
          </cell>
          <cell r="I47">
            <v>-4.8278374082756104</v>
          </cell>
          <cell r="L47">
            <v>1.6185063368272601</v>
          </cell>
        </row>
        <row r="48">
          <cell r="C48">
            <v>-3.7192973845832</v>
          </cell>
          <cell r="F48">
            <v>-1.2559747430419601</v>
          </cell>
          <cell r="I48">
            <v>-3.5544540640703799</v>
          </cell>
          <cell r="L48">
            <v>1.7075756119013601</v>
          </cell>
        </row>
        <row r="49">
          <cell r="C49">
            <v>-3.0388929778018801</v>
          </cell>
          <cell r="F49">
            <v>-1.3966850706704801</v>
          </cell>
          <cell r="I49">
            <v>-3.2364818259354999</v>
          </cell>
          <cell r="L49">
            <v>1.6900337734733</v>
          </cell>
        </row>
        <row r="50">
          <cell r="C50">
            <v>-4.5564866498404601</v>
          </cell>
          <cell r="F50">
            <v>-1.2161041526007501</v>
          </cell>
          <cell r="I50">
            <v>-2.2281595003283798</v>
          </cell>
          <cell r="L50">
            <v>1.8266983950325999</v>
          </cell>
        </row>
        <row r="51">
          <cell r="C51">
            <v>-1.2785264625839701</v>
          </cell>
          <cell r="F51">
            <v>-1.2060783593503399</v>
          </cell>
          <cell r="I51">
            <v>-2.2822747415078899</v>
          </cell>
          <cell r="L51">
            <v>1.9348342634966</v>
          </cell>
        </row>
        <row r="52">
          <cell r="C52">
            <v>-0.79842621879688502</v>
          </cell>
          <cell r="F52">
            <v>-1.4571117968016201</v>
          </cell>
          <cell r="I52">
            <v>-2.79504245645392</v>
          </cell>
          <cell r="L52">
            <v>1.98540227722414</v>
          </cell>
        </row>
        <row r="53">
          <cell r="C53">
            <v>-0.35014799260012502</v>
          </cell>
          <cell r="F53">
            <v>-1.8859066161868601</v>
          </cell>
          <cell r="I53">
            <v>-2.15682664959018</v>
          </cell>
          <cell r="L53">
            <v>2.03670778664788</v>
          </cell>
        </row>
        <row r="54">
          <cell r="C54">
            <v>0.59476869150126699</v>
          </cell>
          <cell r="F54">
            <v>-1.84072865229214</v>
          </cell>
          <cell r="I54">
            <v>-2.66802129725128</v>
          </cell>
          <cell r="L54">
            <v>1.88817756246961</v>
          </cell>
        </row>
        <row r="55">
          <cell r="C55">
            <v>1.51313831931623</v>
          </cell>
          <cell r="F55">
            <v>-1.53716111566981</v>
          </cell>
          <cell r="I55">
            <v>-3.6298774707436601</v>
          </cell>
          <cell r="L55">
            <v>2.06562172948016</v>
          </cell>
        </row>
        <row r="56">
          <cell r="C56">
            <v>4.5413842302086396</v>
          </cell>
          <cell r="F56">
            <v>-1.1062245664880199</v>
          </cell>
          <cell r="I56">
            <v>-5.5102279370602103</v>
          </cell>
          <cell r="L56">
            <v>2.1654746913261498</v>
          </cell>
        </row>
        <row r="57">
          <cell r="C57">
            <v>7.1202540954664402</v>
          </cell>
          <cell r="F57">
            <v>-1.1237428670912799</v>
          </cell>
          <cell r="I57">
            <v>-6.8222109781400597</v>
          </cell>
          <cell r="L57">
            <v>2.3867696408085499</v>
          </cell>
        </row>
        <row r="58">
          <cell r="C58">
            <v>10.2617757007466</v>
          </cell>
          <cell r="F58">
            <v>-0.84186012346914096</v>
          </cell>
          <cell r="I58">
            <v>-8.5894819077987403</v>
          </cell>
          <cell r="L58">
            <v>2.49542276789228</v>
          </cell>
        </row>
        <row r="59">
          <cell r="C59">
            <v>8.3051797550455202</v>
          </cell>
          <cell r="F59">
            <v>-1.1641851679783199</v>
          </cell>
          <cell r="I59">
            <v>-8.1051198580476207</v>
          </cell>
          <cell r="L59">
            <v>2.4491871207642202</v>
          </cell>
        </row>
        <row r="60">
          <cell r="C60">
            <v>2.1065392774801701</v>
          </cell>
          <cell r="F60">
            <v>-1.68537414887282</v>
          </cell>
          <cell r="I60">
            <v>-7.1675562697118602</v>
          </cell>
          <cell r="L60">
            <v>2.41287759111693</v>
          </cell>
        </row>
        <row r="61">
          <cell r="C61">
            <v>4.9673690626642504</v>
          </cell>
          <cell r="F61">
            <v>-0.96398845066937899</v>
          </cell>
          <cell r="I61">
            <v>-6.8911271221443897</v>
          </cell>
          <cell r="L61">
            <v>2.3668769001182199</v>
          </cell>
        </row>
        <row r="62">
          <cell r="C62">
            <v>4.6886368789939104</v>
          </cell>
          <cell r="F62">
            <v>-1.5787994128751499</v>
          </cell>
          <cell r="I62">
            <v>-7.5319010778004101</v>
          </cell>
          <cell r="L62">
            <v>2.0304057767832</v>
          </cell>
        </row>
        <row r="63">
          <cell r="C63">
            <v>5.3898079511125703</v>
          </cell>
          <cell r="F63">
            <v>-1.31139060570299</v>
          </cell>
          <cell r="I63">
            <v>-7.9198751326122796</v>
          </cell>
          <cell r="L63">
            <v>1.8701687627071599</v>
          </cell>
        </row>
        <row r="64">
          <cell r="C64">
            <v>3.3103143100465999</v>
          </cell>
          <cell r="F64">
            <v>-1.5924674255697799</v>
          </cell>
          <cell r="I64">
            <v>-6.8712244718704802</v>
          </cell>
          <cell r="L64">
            <v>2.3055665351414598</v>
          </cell>
        </row>
        <row r="65">
          <cell r="C65">
            <v>0.252365706705582</v>
          </cell>
          <cell r="F65">
            <v>-1.2763992728576601</v>
          </cell>
          <cell r="I65">
            <v>-6.0093365533893</v>
          </cell>
          <cell r="L65">
            <v>2.2245031621107398</v>
          </cell>
        </row>
        <row r="66">
          <cell r="C66">
            <v>-0.73546982394818095</v>
          </cell>
          <cell r="F66">
            <v>-1.3134515558972999</v>
          </cell>
          <cell r="I66">
            <v>-4.9344306787961001</v>
          </cell>
          <cell r="L66">
            <v>2.6529950968801899</v>
          </cell>
        </row>
        <row r="67">
          <cell r="C67">
            <v>-1.4979908736971299</v>
          </cell>
          <cell r="F67">
            <v>-1.4168693142712401</v>
          </cell>
          <cell r="I67">
            <v>-4.0176962130818596</v>
          </cell>
          <cell r="L67">
            <v>2.2663660029906598</v>
          </cell>
        </row>
        <row r="68">
          <cell r="C68">
            <v>0.98501428550879899</v>
          </cell>
          <cell r="F68">
            <v>-1.3628467569563301</v>
          </cell>
          <cell r="I68">
            <v>-4.5590986059516698</v>
          </cell>
          <cell r="L68">
            <v>2.6046310966600199</v>
          </cell>
        </row>
        <row r="69">
          <cell r="C69">
            <v>3.0426499513442899</v>
          </cell>
          <cell r="F69">
            <v>-1.3022693675704999</v>
          </cell>
          <cell r="I69">
            <v>-5.2722056000820503</v>
          </cell>
          <cell r="L69">
            <v>2.4642457241506399</v>
          </cell>
        </row>
        <row r="70">
          <cell r="C70">
            <v>3.1386094598985799</v>
          </cell>
          <cell r="F70">
            <v>-1.5659546098975701</v>
          </cell>
          <cell r="I70">
            <v>-4.9911112224672696</v>
          </cell>
          <cell r="L70">
            <v>2.1776149785075698</v>
          </cell>
        </row>
        <row r="71">
          <cell r="C71">
            <v>2.9142665513161399</v>
          </cell>
          <cell r="F71">
            <v>-1.7437608675284999</v>
          </cell>
          <cell r="I71">
            <v>-4.1410482998755702</v>
          </cell>
          <cell r="L71">
            <v>2.26782685032292</v>
          </cell>
        </row>
        <row r="72">
          <cell r="C72">
            <v>3.8612257196305899</v>
          </cell>
          <cell r="F72">
            <v>-2.4762062920594201</v>
          </cell>
          <cell r="I72">
            <v>-3.1909388190643302</v>
          </cell>
          <cell r="L72">
            <v>2.4370448765431401</v>
          </cell>
        </row>
        <row r="73">
          <cell r="C73">
            <v>6.4781545708861898</v>
          </cell>
          <cell r="F73">
            <v>-3.4672462210416399</v>
          </cell>
          <cell r="I73">
            <v>-7.8306010676627098</v>
          </cell>
          <cell r="L73">
            <v>2.55570811295147</v>
          </cell>
        </row>
        <row r="74">
          <cell r="C74">
            <v>4.0605957125868803</v>
          </cell>
          <cell r="F74">
            <v>-3.5710242062939499</v>
          </cell>
          <cell r="I74">
            <v>-6.89407531179278</v>
          </cell>
          <cell r="L74">
            <v>2.3574765143095102</v>
          </cell>
        </row>
        <row r="75">
          <cell r="C75">
            <v>6.2426336901298498</v>
          </cell>
          <cell r="F75">
            <v>-2.9210897128750899</v>
          </cell>
          <cell r="I75">
            <v>-5.37122034002505</v>
          </cell>
          <cell r="L75">
            <v>2.5229264663628999</v>
          </cell>
        </row>
        <row r="76">
          <cell r="C76">
            <v>8.1606450353431104</v>
          </cell>
          <cell r="F76">
            <v>-2.6775377664230402</v>
          </cell>
          <cell r="I76">
            <v>-5.7053565373206396</v>
          </cell>
          <cell r="L76">
            <v>2.5776418648461701</v>
          </cell>
        </row>
        <row r="77">
          <cell r="C77">
            <v>10.3617736066433</v>
          </cell>
          <cell r="F77">
            <v>-2.4068839392026802</v>
          </cell>
          <cell r="I77">
            <v>-6.7564000578568102</v>
          </cell>
          <cell r="L77">
            <v>2.3120718195929002</v>
          </cell>
        </row>
      </sheetData>
      <sheetData sheetId="5">
        <row r="2">
          <cell r="B2">
            <v>19.563212010530499</v>
          </cell>
          <cell r="C2">
            <v>-14.906501273038501</v>
          </cell>
          <cell r="D2">
            <v>-4.5442442079249297</v>
          </cell>
          <cell r="E2">
            <v>0.1525114302463102</v>
          </cell>
          <cell r="G2">
            <v>-1.12338726692585</v>
          </cell>
        </row>
        <row r="3">
          <cell r="B3">
            <v>18.9160225568905</v>
          </cell>
          <cell r="C3">
            <v>-15.427716929598001</v>
          </cell>
          <cell r="D3">
            <v>-5.2512628004944704</v>
          </cell>
          <cell r="E3">
            <v>1.602441609158503</v>
          </cell>
          <cell r="G3">
            <v>-1.3201823564444499</v>
          </cell>
        </row>
        <row r="4">
          <cell r="B4">
            <v>19.177872265286101</v>
          </cell>
          <cell r="C4">
            <v>-16.022886625105698</v>
          </cell>
          <cell r="D4">
            <v>-5.0058552166624599</v>
          </cell>
          <cell r="E4">
            <v>0.5640448952246464</v>
          </cell>
          <cell r="G4">
            <v>-1.6613560249289401</v>
          </cell>
        </row>
        <row r="5">
          <cell r="B5">
            <v>18.067594965188199</v>
          </cell>
          <cell r="C5">
            <v>-15.597660658258</v>
          </cell>
          <cell r="D5">
            <v>-4.5484319283117403</v>
          </cell>
          <cell r="E5">
            <v>-0.40475857129866011</v>
          </cell>
          <cell r="G5">
            <v>-2.1510593820625501</v>
          </cell>
        </row>
        <row r="6">
          <cell r="B6">
            <v>19.013995682019001</v>
          </cell>
          <cell r="C6">
            <v>-14.922116960456</v>
          </cell>
          <cell r="D6">
            <v>-4.8038760930130104</v>
          </cell>
          <cell r="E6">
            <v>-3.9381856528937513</v>
          </cell>
          <cell r="G6">
            <v>-2.33044230789592</v>
          </cell>
        </row>
        <row r="7">
          <cell r="B7">
            <v>19.013902231022499</v>
          </cell>
          <cell r="C7">
            <v>-16.566122085249901</v>
          </cell>
          <cell r="D7">
            <v>-5.2529843602369004</v>
          </cell>
          <cell r="E7">
            <v>-4.1084610407354782</v>
          </cell>
          <cell r="G7">
            <v>-2.8776377801971602</v>
          </cell>
        </row>
        <row r="8">
          <cell r="B8">
            <v>17.812752781607699</v>
          </cell>
          <cell r="C8">
            <v>-16.81688751974</v>
          </cell>
          <cell r="D8">
            <v>-5.45752193158543</v>
          </cell>
          <cell r="E8">
            <v>-3.3614379501530207</v>
          </cell>
          <cell r="G8">
            <v>-2.7153753128420899</v>
          </cell>
        </row>
        <row r="9">
          <cell r="B9">
            <v>17.3754653467502</v>
          </cell>
          <cell r="C9">
            <v>-17.419306629100799</v>
          </cell>
          <cell r="D9">
            <v>-4.43280785713198</v>
          </cell>
          <cell r="E9">
            <v>-1.4130914227923519</v>
          </cell>
          <cell r="G9">
            <v>-4.2770923114857302</v>
          </cell>
        </row>
        <row r="10">
          <cell r="B10">
            <v>17.6674798568136</v>
          </cell>
          <cell r="C10">
            <v>-14.7687486010722</v>
          </cell>
          <cell r="D10">
            <v>-3.7232664008454401</v>
          </cell>
          <cell r="E10">
            <v>0.1991173865931346</v>
          </cell>
          <cell r="G10">
            <v>-5.7316258096130897</v>
          </cell>
        </row>
        <row r="11">
          <cell r="B11">
            <v>19.5084942688996</v>
          </cell>
          <cell r="C11">
            <v>-11.03264734267</v>
          </cell>
          <cell r="D11">
            <v>-4.4496992811895399</v>
          </cell>
          <cell r="E11">
            <v>0.74983671702451993</v>
          </cell>
          <cell r="G11">
            <v>-5.8709699767445898</v>
          </cell>
        </row>
        <row r="12">
          <cell r="B12">
            <v>22.258784512762698</v>
          </cell>
          <cell r="C12">
            <v>-14.8326061837487</v>
          </cell>
          <cell r="D12">
            <v>-5.7473880152741401</v>
          </cell>
          <cell r="E12">
            <v>-0.71101707405452252</v>
          </cell>
          <cell r="G12">
            <v>-5.6091346953190904</v>
          </cell>
        </row>
        <row r="13">
          <cell r="B13">
            <v>19.276451985027801</v>
          </cell>
          <cell r="C13">
            <v>-14.314197018585</v>
          </cell>
          <cell r="D13">
            <v>-5.6134105955235301</v>
          </cell>
          <cell r="E13">
            <v>-1.7401572846122919</v>
          </cell>
          <cell r="G13">
            <v>-5.6583178802877203</v>
          </cell>
        </row>
        <row r="14">
          <cell r="B14">
            <v>18.649256930296701</v>
          </cell>
          <cell r="C14">
            <v>-14.478690954945799</v>
          </cell>
          <cell r="D14">
            <v>-4.5964098269669202</v>
          </cell>
          <cell r="E14">
            <v>-3.1904491740123726</v>
          </cell>
          <cell r="G14">
            <v>-5.27235244857971</v>
          </cell>
        </row>
        <row r="15">
          <cell r="B15">
            <v>15.0693804793334</v>
          </cell>
          <cell r="C15">
            <v>-14.686908893563499</v>
          </cell>
          <cell r="D15">
            <v>-4.2508984818424098</v>
          </cell>
          <cell r="E15">
            <v>-0.98349836340829189</v>
          </cell>
          <cell r="G15">
            <v>-6.7767189787475299</v>
          </cell>
        </row>
        <row r="16">
          <cell r="B16">
            <v>17.310158245241201</v>
          </cell>
          <cell r="C16">
            <v>-13.2600628488208</v>
          </cell>
          <cell r="D16">
            <v>-4.4525788890376203</v>
          </cell>
          <cell r="E16">
            <v>-0.33175417592302647</v>
          </cell>
          <cell r="G16">
            <v>-7.1330010676739803</v>
          </cell>
        </row>
        <row r="17">
          <cell r="B17">
            <v>18.992071228793701</v>
          </cell>
          <cell r="C17">
            <v>-12.806642787802</v>
          </cell>
          <cell r="D17">
            <v>-3.65886343147382</v>
          </cell>
          <cell r="E17">
            <v>1.2303812896472883</v>
          </cell>
          <cell r="G17">
            <v>-7.4533593287460498</v>
          </cell>
        </row>
        <row r="18">
          <cell r="B18">
            <v>18.0275295971927</v>
          </cell>
          <cell r="C18">
            <v>-15.0483796729169</v>
          </cell>
          <cell r="D18">
            <v>-4.14425967751556</v>
          </cell>
          <cell r="E18">
            <v>-1.0818876280083085</v>
          </cell>
          <cell r="G18">
            <v>-5.5289350039235199</v>
          </cell>
        </row>
        <row r="19">
          <cell r="B19">
            <v>13.8823360718091</v>
          </cell>
          <cell r="C19">
            <v>-15.027563715237999</v>
          </cell>
          <cell r="D19">
            <v>-3.46533276197705</v>
          </cell>
          <cell r="E19">
            <v>-0.35357177853732091</v>
          </cell>
          <cell r="G19">
            <v>-5.1852100604999496</v>
          </cell>
        </row>
        <row r="20">
          <cell r="B20">
            <v>11.7546621394262</v>
          </cell>
          <cell r="C20">
            <v>-10.5150241824327</v>
          </cell>
          <cell r="D20">
            <v>-2.3770816298552999</v>
          </cell>
          <cell r="E20">
            <v>-3.1747559210739817</v>
          </cell>
          <cell r="G20">
            <v>-7.23652576043553</v>
          </cell>
        </row>
        <row r="21">
          <cell r="B21">
            <v>9.26914951615686</v>
          </cell>
          <cell r="C21">
            <v>-10.6690767149334</v>
          </cell>
          <cell r="D21">
            <v>-3.1908150328406202</v>
          </cell>
          <cell r="E21">
            <v>0.3153837385144791</v>
          </cell>
          <cell r="G21">
            <v>-7.0234641856281197</v>
          </cell>
        </row>
        <row r="22">
          <cell r="B22">
            <v>13.724353131094301</v>
          </cell>
          <cell r="C22">
            <v>-11.823817050051</v>
          </cell>
          <cell r="D22">
            <v>-2.0453658060493098</v>
          </cell>
          <cell r="E22">
            <v>0.30103826175956039</v>
          </cell>
          <cell r="G22">
            <v>-9.0877555892729003</v>
          </cell>
        </row>
        <row r="23">
          <cell r="B23">
            <v>15.756835867314599</v>
          </cell>
          <cell r="C23">
            <v>-11.2599400669394</v>
          </cell>
          <cell r="D23">
            <v>-2.8576371013480601</v>
          </cell>
          <cell r="E23">
            <v>0.17935719074584089</v>
          </cell>
          <cell r="G23">
            <v>-4.7400030208708497</v>
          </cell>
        </row>
        <row r="24">
          <cell r="B24">
            <v>17.106702477799701</v>
          </cell>
          <cell r="C24">
            <v>-12.5371875405721</v>
          </cell>
          <cell r="D24">
            <v>-4.0774029343224099</v>
          </cell>
          <cell r="E24">
            <v>0.74962350394284893</v>
          </cell>
          <cell r="G24">
            <v>-5.2303006221477704</v>
          </cell>
        </row>
        <row r="25">
          <cell r="B25">
            <v>16.841173356974501</v>
          </cell>
          <cell r="C25">
            <v>-11.6159560740593</v>
          </cell>
          <cell r="D25">
            <v>-4.4032910607446798</v>
          </cell>
          <cell r="E25">
            <v>0.70349833509380844</v>
          </cell>
          <cell r="G25">
            <v>-4.6592930953191596</v>
          </cell>
        </row>
        <row r="26">
          <cell r="B26">
            <v>18.000677561186901</v>
          </cell>
          <cell r="C26">
            <v>-12.196936722114399</v>
          </cell>
          <cell r="D26">
            <v>-5.3557677101718699</v>
          </cell>
          <cell r="E26">
            <v>0.58393549730387662</v>
          </cell>
          <cell r="G26">
            <v>-3.94426036928609</v>
          </cell>
        </row>
        <row r="27">
          <cell r="B27">
            <v>18.619199146952099</v>
          </cell>
          <cell r="C27">
            <v>-13.1496436705904</v>
          </cell>
          <cell r="D27">
            <v>-5.1436760287045402</v>
          </cell>
          <cell r="E27">
            <v>1.2101094023471148E-2</v>
          </cell>
          <cell r="G27">
            <v>-3.7064322569165902</v>
          </cell>
        </row>
        <row r="28">
          <cell r="B28">
            <v>19.440661363215099</v>
          </cell>
          <cell r="C28">
            <v>-13.5480356889856</v>
          </cell>
          <cell r="D28">
            <v>-4.7599379678390497</v>
          </cell>
          <cell r="E28">
            <v>0.52578761225915027</v>
          </cell>
          <cell r="G28">
            <v>-2.7941498405190801</v>
          </cell>
        </row>
        <row r="29">
          <cell r="B29">
            <v>19.966413289924699</v>
          </cell>
          <cell r="C29">
            <v>-13.564886968482</v>
          </cell>
          <cell r="D29">
            <v>-4.8425084591730299</v>
          </cell>
          <cell r="E29">
            <v>0.64130718684468935</v>
          </cell>
          <cell r="G29">
            <v>-2.1326970486134802</v>
          </cell>
        </row>
        <row r="30">
          <cell r="B30">
            <v>19.909133359738799</v>
          </cell>
          <cell r="C30">
            <v>-14.155967942096501</v>
          </cell>
          <cell r="D30">
            <v>-4.5050961655335202</v>
          </cell>
          <cell r="E30">
            <v>1.0317453566442758E-2</v>
          </cell>
          <cell r="G30">
            <v>-2.2960465106888002</v>
          </cell>
        </row>
        <row r="31">
          <cell r="B31">
            <v>18.6865045369087</v>
          </cell>
          <cell r="C31">
            <v>-15.188257193400601</v>
          </cell>
          <cell r="D31">
            <v>-4.5379387697173401</v>
          </cell>
          <cell r="E31">
            <v>0.11746410265620977</v>
          </cell>
          <cell r="G31">
            <v>-2.49089144203595</v>
          </cell>
        </row>
        <row r="32">
          <cell r="B32">
            <v>18.931427622904302</v>
          </cell>
          <cell r="C32">
            <v>-15.483685240603601</v>
          </cell>
          <cell r="D32">
            <v>-3.8261807680521902</v>
          </cell>
          <cell r="E32">
            <v>-0.42789380151842371</v>
          </cell>
          <cell r="G32">
            <v>-2.62379452113339</v>
          </cell>
        </row>
        <row r="33">
          <cell r="B33">
            <v>17.9273761811057</v>
          </cell>
          <cell r="C33">
            <v>-15.4162701960805</v>
          </cell>
          <cell r="D33">
            <v>-3.1271320598893602</v>
          </cell>
          <cell r="E33">
            <v>0.17851968767117432</v>
          </cell>
          <cell r="G33">
            <v>-2.3835275490050001</v>
          </cell>
        </row>
        <row r="34">
          <cell r="B34">
            <v>18.0915108575748</v>
          </cell>
          <cell r="C34">
            <v>-15.210148347826401</v>
          </cell>
          <cell r="D34">
            <v>-2.8562451972074498</v>
          </cell>
          <cell r="E34">
            <v>-8.1598052546180355E-2</v>
          </cell>
          <cell r="G34">
            <v>-2.2565299557591101</v>
          </cell>
        </row>
        <row r="35">
          <cell r="B35">
            <v>18.347126234662898</v>
          </cell>
          <cell r="C35">
            <v>-15.176770133291299</v>
          </cell>
          <cell r="D35">
            <v>-2.8006520281938498</v>
          </cell>
          <cell r="E35">
            <v>0.13843209999252926</v>
          </cell>
          <cell r="G35">
            <v>-2.2616869139205802</v>
          </cell>
        </row>
        <row r="36">
          <cell r="B36">
            <v>18.384705898666802</v>
          </cell>
          <cell r="C36">
            <v>-14.7936708569712</v>
          </cell>
          <cell r="D36">
            <v>-2.80233088008299</v>
          </cell>
          <cell r="E36">
            <v>0.23375261681178738</v>
          </cell>
          <cell r="G36">
            <v>-2.1557472946597702</v>
          </cell>
        </row>
        <row r="37">
          <cell r="B37">
            <v>19.456822931259602</v>
          </cell>
          <cell r="C37">
            <v>-15.2190664504552</v>
          </cell>
          <cell r="D37">
            <v>-2.96663871561283</v>
          </cell>
          <cell r="E37">
            <v>0.44220013902927935</v>
          </cell>
          <cell r="G37">
            <v>-2.0687739697428702</v>
          </cell>
        </row>
        <row r="38">
          <cell r="B38">
            <v>21.046784261316301</v>
          </cell>
          <cell r="C38">
            <v>-13.823267266115099</v>
          </cell>
          <cell r="D38">
            <v>-3.2373509610713498</v>
          </cell>
          <cell r="E38">
            <v>0.45677639713035845</v>
          </cell>
          <cell r="G38">
            <v>-1.9767217623646101</v>
          </cell>
        </row>
        <row r="39">
          <cell r="B39">
            <v>21.760054617313401</v>
          </cell>
          <cell r="C39">
            <v>-13.669780246500601</v>
          </cell>
          <cell r="D39">
            <v>-3.4643810618500801</v>
          </cell>
          <cell r="E39">
            <v>0.31806336664934065</v>
          </cell>
          <cell r="G39">
            <v>-1.8789439660681699</v>
          </cell>
        </row>
        <row r="40">
          <cell r="B40">
            <v>22.241355861611002</v>
          </cell>
          <cell r="C40">
            <v>-13.805910286801399</v>
          </cell>
          <cell r="D40">
            <v>-4.3979670626902996</v>
          </cell>
          <cell r="E40">
            <v>0.15192160377162711</v>
          </cell>
          <cell r="G40">
            <v>-1.66358486649022</v>
          </cell>
        </row>
        <row r="41">
          <cell r="B41">
            <v>19.753920473885501</v>
          </cell>
          <cell r="C41">
            <v>-14.172657634198901</v>
          </cell>
          <cell r="D41">
            <v>-5.8349468661310198</v>
          </cell>
          <cell r="E41">
            <v>0.32746098961827208</v>
          </cell>
          <cell r="G41">
            <v>-1.3601101140977101</v>
          </cell>
        </row>
        <row r="42">
          <cell r="B42">
            <v>20.799879375254701</v>
          </cell>
          <cell r="C42">
            <v>-13.6359470851749</v>
          </cell>
          <cell r="D42">
            <v>-6.1807255171195701</v>
          </cell>
          <cell r="E42">
            <v>4.6913474332000327E-2</v>
          </cell>
          <cell r="G42">
            <v>-1.20530359564617</v>
          </cell>
        </row>
        <row r="43">
          <cell r="B43">
            <v>21.785159493502299</v>
          </cell>
          <cell r="C43">
            <v>-13.454457453789701</v>
          </cell>
          <cell r="D43">
            <v>-5.18021620131685</v>
          </cell>
          <cell r="E43">
            <v>0.10887267920537358</v>
          </cell>
          <cell r="G43">
            <v>-1.1788168066468501</v>
          </cell>
        </row>
        <row r="44">
          <cell r="B44">
            <v>22.325323414805698</v>
          </cell>
          <cell r="C44">
            <v>-13.557694438335799</v>
          </cell>
          <cell r="D44">
            <v>-5.67144174949647</v>
          </cell>
          <cell r="E44">
            <v>0.27064977690647218</v>
          </cell>
          <cell r="G44">
            <v>-1.09371042292062</v>
          </cell>
        </row>
        <row r="45">
          <cell r="B45">
            <v>22.042040975641999</v>
          </cell>
          <cell r="C45">
            <v>-14.2766155266343</v>
          </cell>
          <cell r="D45">
            <v>-6.0938594574831697</v>
          </cell>
          <cell r="E45">
            <v>0.32271250866452128</v>
          </cell>
          <cell r="G45">
            <v>-1.1100590998169599</v>
          </cell>
        </row>
        <row r="46">
          <cell r="B46">
            <v>22.095837226289898</v>
          </cell>
          <cell r="C46">
            <v>-15.417078515891401</v>
          </cell>
          <cell r="D46">
            <v>-5.9361134331380399</v>
          </cell>
          <cell r="E46">
            <v>7.7972208072790039E-2</v>
          </cell>
          <cell r="G46">
            <v>-1.0722009027275099</v>
          </cell>
        </row>
        <row r="47">
          <cell r="B47">
            <v>19.876262059637899</v>
          </cell>
          <cell r="C47">
            <v>-15.614745266762</v>
          </cell>
          <cell r="D47">
            <v>-5.3595236892841998</v>
          </cell>
          <cell r="E47">
            <v>0.21343314453465201</v>
          </cell>
          <cell r="G47">
            <v>-1.03152539157839</v>
          </cell>
        </row>
        <row r="48">
          <cell r="B48">
            <v>18.245470132319699</v>
          </cell>
          <cell r="C48">
            <v>-14.908403860137399</v>
          </cell>
          <cell r="D48">
            <v>-4.5668672952449798</v>
          </cell>
          <cell r="E48">
            <v>-1.7534421632238839E-2</v>
          </cell>
          <cell r="G48">
            <v>-1.06944954549409</v>
          </cell>
        </row>
        <row r="49">
          <cell r="B49">
            <v>17.653719647268701</v>
          </cell>
          <cell r="C49">
            <v>-14.915409327769799</v>
          </cell>
          <cell r="D49">
            <v>-4.6163616601370796</v>
          </cell>
          <cell r="E49">
            <v>9.7670612044827188E-2</v>
          </cell>
          <cell r="G49">
            <v>-1.1672032322400701</v>
          </cell>
        </row>
        <row r="50">
          <cell r="B50">
            <v>18.870725446040002</v>
          </cell>
          <cell r="C50">
            <v>-14.9668918508779</v>
          </cell>
          <cell r="D50">
            <v>-4.7837707372104301</v>
          </cell>
          <cell r="E50">
            <v>-5.7892730842054263E-2</v>
          </cell>
          <cell r="G50">
            <v>-1.32568340542684</v>
          </cell>
        </row>
        <row r="51">
          <cell r="B51">
            <v>19.2466022244942</v>
          </cell>
          <cell r="C51">
            <v>-15.1300040054983</v>
          </cell>
          <cell r="D51">
            <v>-4.4393858039005796</v>
          </cell>
          <cell r="E51">
            <v>8.2849582569407332E-2</v>
          </cell>
          <cell r="G51">
            <v>-1.35174033047604</v>
          </cell>
        </row>
        <row r="52">
          <cell r="B52">
            <v>17.4220622762289</v>
          </cell>
          <cell r="C52">
            <v>-19.796844200312801</v>
          </cell>
          <cell r="D52">
            <v>-4.3920067115062498</v>
          </cell>
          <cell r="E52">
            <v>-0.37561255435416818</v>
          </cell>
          <cell r="G52">
            <v>-1.56854565747426</v>
          </cell>
        </row>
        <row r="53">
          <cell r="B53">
            <v>20.608033797162001</v>
          </cell>
          <cell r="C53">
            <v>-16.837831924246998</v>
          </cell>
          <cell r="D53">
            <v>-4.9274801452226198</v>
          </cell>
          <cell r="E53">
            <v>0.15246630367018721</v>
          </cell>
          <cell r="G53">
            <v>-1.4794344521931999</v>
          </cell>
        </row>
        <row r="54">
          <cell r="B54">
            <v>21.750124692113801</v>
          </cell>
          <cell r="C54">
            <v>-15.710309960296801</v>
          </cell>
          <cell r="D54">
            <v>-5.9754307731679699</v>
          </cell>
          <cell r="E54">
            <v>-0.19894337400724815</v>
          </cell>
          <cell r="G54">
            <v>-1.5421028386669799</v>
          </cell>
        </row>
        <row r="55">
          <cell r="B55">
            <v>19.4291634631197</v>
          </cell>
          <cell r="C55">
            <v>-15.3626737041588</v>
          </cell>
          <cell r="D55">
            <v>-5.1972303065139798</v>
          </cell>
          <cell r="E55">
            <v>2.1126088579309865E-2</v>
          </cell>
          <cell r="G55">
            <v>-1.6413034556233801</v>
          </cell>
        </row>
        <row r="56">
          <cell r="B56">
            <v>18.697563982641501</v>
          </cell>
          <cell r="C56">
            <v>-14.645450071855</v>
          </cell>
          <cell r="D56">
            <v>-6.0740734429717103</v>
          </cell>
          <cell r="E56">
            <v>0.24324316042533933</v>
          </cell>
          <cell r="G56">
            <v>-1.67075806046007</v>
          </cell>
        </row>
        <row r="57">
          <cell r="B57">
            <v>18.9928543582317</v>
          </cell>
          <cell r="C57">
            <v>-14.306978719485199</v>
          </cell>
          <cell r="D57">
            <v>-5.6052517788986798</v>
          </cell>
          <cell r="E57">
            <v>0.32662246627003633</v>
          </cell>
          <cell r="G57">
            <v>-1.58396375283769</v>
          </cell>
        </row>
      </sheetData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7"/>
  <sheetViews>
    <sheetView tabSelected="1" workbookViewId="0">
      <pane xSplit="1" ySplit="1" topLeftCell="B74" activePane="bottomRight" state="frozen"/>
      <selection pane="topRight" activeCell="B1" sqref="B1"/>
      <selection pane="bottomLeft" activeCell="A2" sqref="A2"/>
      <selection pane="bottomRight" activeCell="S127" sqref="S127"/>
    </sheetView>
  </sheetViews>
  <sheetFormatPr defaultRowHeight="14.5" x14ac:dyDescent="0.35"/>
  <cols>
    <col min="1" max="1" width="14" customWidth="1"/>
    <col min="2" max="21" width="16" customWidth="1"/>
  </cols>
  <sheetData>
    <row r="1" spans="1:2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5">
      <c r="A2">
        <v>1900</v>
      </c>
    </row>
    <row r="3" spans="1:21" x14ac:dyDescent="0.35">
      <c r="A3">
        <v>1901</v>
      </c>
      <c r="P3" s="6">
        <f>[1]anual!$L2</f>
        <v>7.6923076923076898</v>
      </c>
      <c r="Q3" s="6">
        <f>P3</f>
        <v>7.6923076923076898</v>
      </c>
    </row>
    <row r="4" spans="1:21" x14ac:dyDescent="0.35">
      <c r="A4">
        <v>1902</v>
      </c>
      <c r="P4" s="6">
        <f>[1]anual!$L3</f>
        <v>-19.047619047619101</v>
      </c>
      <c r="Q4" s="6">
        <f t="shared" ref="Q4:Q67" si="0">P4</f>
        <v>-19.047619047619101</v>
      </c>
    </row>
    <row r="5" spans="1:21" x14ac:dyDescent="0.35">
      <c r="A5">
        <v>1903</v>
      </c>
      <c r="P5" s="6">
        <f>[1]anual!$L4</f>
        <v>13.235294117647101</v>
      </c>
      <c r="Q5" s="6">
        <f t="shared" si="0"/>
        <v>13.235294117647101</v>
      </c>
    </row>
    <row r="6" spans="1:21" x14ac:dyDescent="0.35">
      <c r="A6">
        <v>1904</v>
      </c>
      <c r="P6" s="6">
        <f>[1]anual!$L5</f>
        <v>3.8961038961038801</v>
      </c>
      <c r="Q6" s="6">
        <f t="shared" si="0"/>
        <v>3.8961038961038801</v>
      </c>
    </row>
    <row r="7" spans="1:21" x14ac:dyDescent="0.35">
      <c r="A7">
        <v>1905</v>
      </c>
      <c r="P7" s="6">
        <f>[1]anual!$L6</f>
        <v>31.25</v>
      </c>
      <c r="Q7" s="6">
        <f t="shared" si="0"/>
        <v>31.25</v>
      </c>
    </row>
    <row r="8" spans="1:21" x14ac:dyDescent="0.35">
      <c r="A8">
        <v>1906</v>
      </c>
      <c r="P8" s="6">
        <f>[1]anual!$L7</f>
        <v>0.952380952380949</v>
      </c>
      <c r="Q8" s="6">
        <f t="shared" si="0"/>
        <v>0.952380952380949</v>
      </c>
    </row>
    <row r="9" spans="1:21" x14ac:dyDescent="0.35">
      <c r="A9">
        <v>1907</v>
      </c>
      <c r="P9" s="6">
        <f>[1]anual!$L8</f>
        <v>1.88679245283019</v>
      </c>
      <c r="Q9" s="6">
        <f t="shared" si="0"/>
        <v>1.88679245283019</v>
      </c>
    </row>
    <row r="10" spans="1:21" x14ac:dyDescent="0.35">
      <c r="A10">
        <v>1908</v>
      </c>
      <c r="P10" s="6">
        <f>[1]anual!$L9</f>
        <v>4.6296296296296298</v>
      </c>
      <c r="Q10" s="6">
        <f t="shared" si="0"/>
        <v>4.6296296296296298</v>
      </c>
    </row>
    <row r="11" spans="1:21" x14ac:dyDescent="0.35">
      <c r="A11">
        <v>1909</v>
      </c>
      <c r="P11" s="6">
        <f>[1]anual!$L10</f>
        <v>-14.159292035398201</v>
      </c>
      <c r="Q11" s="6">
        <f t="shared" si="0"/>
        <v>-14.159292035398201</v>
      </c>
    </row>
    <row r="12" spans="1:21" x14ac:dyDescent="0.35">
      <c r="A12">
        <v>1910</v>
      </c>
      <c r="P12" s="6">
        <f>[1]anual!$L11</f>
        <v>-2.0618556701031001</v>
      </c>
      <c r="Q12" s="6">
        <f t="shared" si="0"/>
        <v>-2.0618556701031001</v>
      </c>
    </row>
    <row r="13" spans="1:21" x14ac:dyDescent="0.35">
      <c r="A13">
        <v>1911</v>
      </c>
      <c r="P13" s="6">
        <f>[1]anual!$L12</f>
        <v>3.1578947368421102</v>
      </c>
      <c r="Q13" s="6">
        <f t="shared" si="0"/>
        <v>3.1578947368421102</v>
      </c>
    </row>
    <row r="14" spans="1:21" x14ac:dyDescent="0.35">
      <c r="A14">
        <v>1912</v>
      </c>
      <c r="P14" s="6">
        <f>[1]anual!$L13</f>
        <v>-9.1836734693877595</v>
      </c>
      <c r="Q14" s="6">
        <f t="shared" si="0"/>
        <v>-9.1836734693877595</v>
      </c>
    </row>
    <row r="15" spans="1:21" x14ac:dyDescent="0.35">
      <c r="A15">
        <v>1913</v>
      </c>
      <c r="P15" s="6">
        <f>[1]anual!$L14</f>
        <v>12.3595505617978</v>
      </c>
      <c r="Q15" s="6">
        <f t="shared" si="0"/>
        <v>12.3595505617978</v>
      </c>
    </row>
    <row r="16" spans="1:21" x14ac:dyDescent="0.35">
      <c r="A16">
        <v>1914</v>
      </c>
      <c r="P16" s="6">
        <f>[1]anual!$L15</f>
        <v>4</v>
      </c>
      <c r="Q16" s="6">
        <f t="shared" si="0"/>
        <v>4</v>
      </c>
    </row>
    <row r="17" spans="1:17" x14ac:dyDescent="0.35">
      <c r="A17">
        <v>1915</v>
      </c>
      <c r="P17" s="6">
        <f>[1]anual!$L16</f>
        <v>7.6923076923076898</v>
      </c>
      <c r="Q17" s="6">
        <f t="shared" si="0"/>
        <v>7.6923076923076898</v>
      </c>
    </row>
    <row r="18" spans="1:17" x14ac:dyDescent="0.35">
      <c r="A18">
        <v>1916</v>
      </c>
      <c r="P18" s="6">
        <f>[1]anual!$L17</f>
        <v>9.8214285714285801</v>
      </c>
      <c r="Q18" s="6">
        <f t="shared" si="0"/>
        <v>9.8214285714285801</v>
      </c>
    </row>
    <row r="19" spans="1:17" x14ac:dyDescent="0.35">
      <c r="A19">
        <v>1917</v>
      </c>
      <c r="P19" s="6">
        <f>[1]anual!$L18</f>
        <v>15.4471544715447</v>
      </c>
      <c r="Q19" s="6">
        <f t="shared" si="0"/>
        <v>15.4471544715447</v>
      </c>
    </row>
    <row r="20" spans="1:17" x14ac:dyDescent="0.35">
      <c r="A20">
        <v>1918</v>
      </c>
      <c r="P20" s="6">
        <f>[1]anual!$L19</f>
        <v>15.492957746478901</v>
      </c>
      <c r="Q20" s="6">
        <f t="shared" si="0"/>
        <v>15.492957746478901</v>
      </c>
    </row>
    <row r="21" spans="1:17" x14ac:dyDescent="0.35">
      <c r="A21">
        <v>1919</v>
      </c>
      <c r="P21" s="6">
        <f>[1]anual!$L20</f>
        <v>14.634146341463399</v>
      </c>
      <c r="Q21" s="6">
        <f t="shared" si="0"/>
        <v>14.634146341463399</v>
      </c>
    </row>
    <row r="22" spans="1:17" x14ac:dyDescent="0.35">
      <c r="A22">
        <v>1920</v>
      </c>
      <c r="P22" s="6">
        <f>[1]anual!$L21</f>
        <v>11.702127659574501</v>
      </c>
      <c r="Q22" s="6">
        <f t="shared" si="0"/>
        <v>11.702127659574501</v>
      </c>
    </row>
    <row r="23" spans="1:17" x14ac:dyDescent="0.35">
      <c r="A23">
        <v>1921</v>
      </c>
      <c r="P23" s="6">
        <f>[1]anual!$L22</f>
        <v>-5.2380952380952399</v>
      </c>
      <c r="Q23" s="6">
        <f t="shared" si="0"/>
        <v>-5.2380952380952399</v>
      </c>
    </row>
    <row r="24" spans="1:17" x14ac:dyDescent="0.35">
      <c r="A24">
        <v>1922</v>
      </c>
      <c r="P24" s="6">
        <f>[1]anual!$L23</f>
        <v>-4.7181187820319597</v>
      </c>
      <c r="Q24" s="6">
        <f t="shared" si="0"/>
        <v>-4.7181187820319597</v>
      </c>
    </row>
    <row r="25" spans="1:17" x14ac:dyDescent="0.35">
      <c r="A25">
        <v>1923</v>
      </c>
      <c r="P25" s="6">
        <f>[1]anual!$L24</f>
        <v>-5.0730369667246702</v>
      </c>
      <c r="Q25" s="6">
        <f t="shared" si="0"/>
        <v>-5.0730369667246702</v>
      </c>
    </row>
    <row r="26" spans="1:17" x14ac:dyDescent="0.35">
      <c r="A26">
        <v>1924</v>
      </c>
      <c r="P26" s="6">
        <f>[1]anual!$L25</f>
        <v>3.8108993944781</v>
      </c>
      <c r="Q26" s="6">
        <f t="shared" si="0"/>
        <v>3.8108993944781</v>
      </c>
    </row>
    <row r="27" spans="1:17" x14ac:dyDescent="0.35">
      <c r="A27">
        <v>1925</v>
      </c>
      <c r="P27" s="6">
        <f>[1]anual!$L26</f>
        <v>7.1225985979558102</v>
      </c>
      <c r="Q27" s="6">
        <f t="shared" si="0"/>
        <v>7.1225985979558102</v>
      </c>
    </row>
    <row r="28" spans="1:17" x14ac:dyDescent="0.35">
      <c r="A28">
        <v>1926</v>
      </c>
      <c r="P28" s="6">
        <f>[1]anual!$L27</f>
        <v>0.55450094914577597</v>
      </c>
      <c r="Q28" s="6">
        <f t="shared" si="0"/>
        <v>0.55450094914577597</v>
      </c>
    </row>
    <row r="29" spans="1:17" x14ac:dyDescent="0.35">
      <c r="A29">
        <v>1927</v>
      </c>
      <c r="P29" s="6">
        <f>[1]anual!$L28</f>
        <v>-3.8104227731134199</v>
      </c>
      <c r="Q29" s="6">
        <f t="shared" si="0"/>
        <v>-3.8104227731134199</v>
      </c>
    </row>
    <row r="30" spans="1:17" x14ac:dyDescent="0.35">
      <c r="A30">
        <v>1928</v>
      </c>
      <c r="P30" s="6">
        <f>[1]anual!$L29</f>
        <v>-6.2958372069001198</v>
      </c>
      <c r="Q30" s="6">
        <f t="shared" si="0"/>
        <v>-6.2958372069001198</v>
      </c>
    </row>
    <row r="31" spans="1:17" x14ac:dyDescent="0.35">
      <c r="A31">
        <v>1929</v>
      </c>
      <c r="P31" s="6">
        <f>[1]anual!$L30</f>
        <v>-2.68974260045198</v>
      </c>
      <c r="Q31" s="6">
        <f t="shared" si="0"/>
        <v>-2.68974260045198</v>
      </c>
    </row>
    <row r="32" spans="1:17" x14ac:dyDescent="0.35">
      <c r="A32">
        <v>1930</v>
      </c>
      <c r="P32" s="6">
        <f>[1]anual!$L31</f>
        <v>-4.5197740112994298</v>
      </c>
      <c r="Q32" s="6">
        <f t="shared" si="0"/>
        <v>-4.5197740112994298</v>
      </c>
    </row>
    <row r="33" spans="1:17" x14ac:dyDescent="0.35">
      <c r="A33">
        <v>1931</v>
      </c>
      <c r="P33" s="6">
        <f>[1]anual!$L32</f>
        <v>-6.5088757396449601</v>
      </c>
      <c r="Q33" s="6">
        <f t="shared" si="0"/>
        <v>-6.5088757396449601</v>
      </c>
    </row>
    <row r="34" spans="1:17" x14ac:dyDescent="0.35">
      <c r="A34">
        <v>1932</v>
      </c>
      <c r="P34" s="6">
        <f>[1]anual!$L33</f>
        <v>-4.4303797468354604</v>
      </c>
      <c r="Q34" s="6">
        <f t="shared" si="0"/>
        <v>-4.4303797468354604</v>
      </c>
    </row>
    <row r="35" spans="1:17" x14ac:dyDescent="0.35">
      <c r="A35">
        <v>1933</v>
      </c>
      <c r="P35" s="6">
        <f>[1]anual!$L34</f>
        <v>-2.6490066225165498</v>
      </c>
      <c r="Q35" s="6">
        <f t="shared" si="0"/>
        <v>-2.6490066225165498</v>
      </c>
    </row>
    <row r="36" spans="1:17" x14ac:dyDescent="0.35">
      <c r="A36">
        <v>1934</v>
      </c>
      <c r="P36" s="6">
        <f>[1]anual!$L35</f>
        <v>2.0408163265305901</v>
      </c>
      <c r="Q36" s="6">
        <f t="shared" si="0"/>
        <v>2.0408163265305901</v>
      </c>
    </row>
    <row r="37" spans="1:17" x14ac:dyDescent="0.35">
      <c r="A37">
        <v>1935</v>
      </c>
      <c r="P37" s="6">
        <f>[1]anual!$L36</f>
        <v>1.3333333333333099</v>
      </c>
      <c r="Q37" s="6">
        <f t="shared" si="0"/>
        <v>1.3333333333333099</v>
      </c>
    </row>
    <row r="38" spans="1:17" x14ac:dyDescent="0.35">
      <c r="A38">
        <v>1936</v>
      </c>
      <c r="P38" s="6">
        <f>[1]anual!$L37</f>
        <v>5.2631578947368398</v>
      </c>
      <c r="Q38" s="6">
        <f t="shared" si="0"/>
        <v>5.2631578947368398</v>
      </c>
    </row>
    <row r="39" spans="1:17" x14ac:dyDescent="0.35">
      <c r="A39">
        <v>1937</v>
      </c>
      <c r="P39" s="6">
        <f>[1]anual!$L38</f>
        <v>6.25</v>
      </c>
      <c r="Q39" s="6">
        <f t="shared" si="0"/>
        <v>6.25</v>
      </c>
    </row>
    <row r="40" spans="1:17" x14ac:dyDescent="0.35">
      <c r="A40">
        <v>1938</v>
      </c>
      <c r="P40" s="6">
        <f>[1]anual!$L39</f>
        <v>1.2847190807925299</v>
      </c>
      <c r="Q40" s="6">
        <f t="shared" si="0"/>
        <v>1.2847190807925299</v>
      </c>
    </row>
    <row r="41" spans="1:17" x14ac:dyDescent="0.35">
      <c r="A41">
        <v>1939</v>
      </c>
      <c r="P41" s="6">
        <f>[1]anual!$L40</f>
        <v>-1.3130861991960501</v>
      </c>
      <c r="Q41" s="6">
        <f t="shared" si="0"/>
        <v>-1.3130861991960501</v>
      </c>
    </row>
    <row r="42" spans="1:17" x14ac:dyDescent="0.35">
      <c r="A42">
        <v>1940</v>
      </c>
      <c r="P42" s="6">
        <f>[1]anual!$L41</f>
        <v>7.4583635047067203</v>
      </c>
      <c r="Q42" s="6">
        <f t="shared" si="0"/>
        <v>7.4583635047067203</v>
      </c>
    </row>
    <row r="43" spans="1:17" x14ac:dyDescent="0.35">
      <c r="A43">
        <v>1941</v>
      </c>
      <c r="P43" s="6">
        <f>[1]anual!$L42</f>
        <v>8.3305256064690205</v>
      </c>
      <c r="Q43" s="6">
        <f t="shared" si="0"/>
        <v>8.3305256064690205</v>
      </c>
    </row>
    <row r="44" spans="1:17" x14ac:dyDescent="0.35">
      <c r="A44">
        <v>1942</v>
      </c>
      <c r="P44" s="6">
        <f>[1]anual!$L43</f>
        <v>12.222999766736599</v>
      </c>
      <c r="Q44" s="6">
        <f t="shared" si="0"/>
        <v>12.222999766736599</v>
      </c>
    </row>
    <row r="45" spans="1:17" x14ac:dyDescent="0.35">
      <c r="A45">
        <v>1943</v>
      </c>
      <c r="P45" s="6">
        <f>[1]anual!$L44</f>
        <v>10.101849927250001</v>
      </c>
      <c r="Q45" s="6">
        <f t="shared" si="0"/>
        <v>10.101849927250001</v>
      </c>
    </row>
    <row r="46" spans="1:17" x14ac:dyDescent="0.35">
      <c r="A46">
        <v>1944</v>
      </c>
      <c r="P46" s="6">
        <f>[1]anual!$L45</f>
        <v>14.108614939273799</v>
      </c>
      <c r="Q46" s="6">
        <f t="shared" si="0"/>
        <v>14.108614939273799</v>
      </c>
    </row>
    <row r="47" spans="1:17" x14ac:dyDescent="0.35">
      <c r="A47">
        <v>1945</v>
      </c>
      <c r="P47" s="6">
        <f>[1]anual!$L46</f>
        <v>11.3991066012243</v>
      </c>
      <c r="Q47" s="6">
        <f t="shared" si="0"/>
        <v>11.3991066012243</v>
      </c>
    </row>
    <row r="48" spans="1:17" x14ac:dyDescent="0.35">
      <c r="A48">
        <v>1946</v>
      </c>
      <c r="P48" s="6">
        <f>[1]anual!$L47</f>
        <v>9.4059405940594196</v>
      </c>
      <c r="Q48" s="6">
        <f t="shared" si="0"/>
        <v>9.4059405940594196</v>
      </c>
    </row>
    <row r="49" spans="1:17" x14ac:dyDescent="0.35">
      <c r="A49">
        <v>1947</v>
      </c>
      <c r="P49" s="6">
        <f>[1]anual!$L48</f>
        <v>29.221719457013599</v>
      </c>
      <c r="Q49" s="6">
        <f t="shared" si="0"/>
        <v>29.221719457013599</v>
      </c>
    </row>
    <row r="50" spans="1:17" x14ac:dyDescent="0.35">
      <c r="A50">
        <v>1948</v>
      </c>
      <c r="P50" s="6">
        <f>[1]anual!$L49</f>
        <v>30.898522305483599</v>
      </c>
      <c r="Q50" s="6">
        <f t="shared" si="0"/>
        <v>30.898522305483599</v>
      </c>
    </row>
    <row r="51" spans="1:17" x14ac:dyDescent="0.35">
      <c r="A51">
        <v>1949</v>
      </c>
      <c r="P51" s="6">
        <f>[1]anual!$L50</f>
        <v>14.827992081750599</v>
      </c>
      <c r="Q51" s="6">
        <f t="shared" si="0"/>
        <v>14.827992081750599</v>
      </c>
    </row>
    <row r="52" spans="1:17" x14ac:dyDescent="0.35">
      <c r="A52">
        <v>1950</v>
      </c>
      <c r="B52" s="7">
        <f>[1]anual!$B51</f>
        <v>40920</v>
      </c>
      <c r="C52" s="7">
        <f>[1]anual!$C51</f>
        <v>30156</v>
      </c>
      <c r="D52" s="7">
        <f>[1]anual!$G51</f>
        <v>4491.6390806865902</v>
      </c>
      <c r="E52" s="5">
        <f>LN(B52)</f>
        <v>10.619374220065563</v>
      </c>
      <c r="F52" s="5">
        <f t="shared" ref="F52:G52" si="1">LN(C52)</f>
        <v>10.314139187331593</v>
      </c>
      <c r="G52" s="5">
        <f t="shared" si="1"/>
        <v>8.4099729654991169</v>
      </c>
      <c r="L52" s="6">
        <f>100*C52/B52</f>
        <v>73.695014662756591</v>
      </c>
      <c r="M52" s="6">
        <f>100*D52/B52</f>
        <v>10.97663509454201</v>
      </c>
      <c r="N52" s="6">
        <f>100*([1]anual!$D51+[1]anual!$H51)/B52</f>
        <v>9.8139145109194921</v>
      </c>
      <c r="O52" s="6">
        <f>100*([1]anual!$J51-[1]anual!$K51)/B52</f>
        <v>5.1038382645322828</v>
      </c>
      <c r="P52" s="6">
        <f>[1]anual!$L51</f>
        <v>10.2903887415991</v>
      </c>
      <c r="Q52" s="6">
        <f t="shared" si="0"/>
        <v>10.2903887415991</v>
      </c>
    </row>
    <row r="53" spans="1:17" x14ac:dyDescent="0.35">
      <c r="A53">
        <v>1951</v>
      </c>
      <c r="B53" s="7">
        <f>[1]anual!$B52</f>
        <v>44711</v>
      </c>
      <c r="C53" s="7">
        <f>[1]anual!$C52</f>
        <v>33508</v>
      </c>
      <c r="D53" s="7">
        <f>[1]anual!$G52</f>
        <v>6165.2870266865302</v>
      </c>
      <c r="E53" s="5">
        <f t="shared" ref="E53:E116" si="2">LN(B53)</f>
        <v>10.707974835338897</v>
      </c>
      <c r="F53" s="5">
        <f t="shared" ref="F53:F116" si="3">LN(C53)</f>
        <v>10.4195394952737</v>
      </c>
      <c r="G53" s="5">
        <f t="shared" ref="G53:G116" si="4">LN(D53)</f>
        <v>8.726689971965861</v>
      </c>
      <c r="H53" s="6">
        <f>100*B53/B52-100</f>
        <v>9.2644183773216042</v>
      </c>
      <c r="I53" s="6">
        <f t="shared" ref="I53:J53" si="5">100*C53/C52-100</f>
        <v>11.115532564000532</v>
      </c>
      <c r="J53" s="6">
        <f t="shared" si="5"/>
        <v>37.261407604996322</v>
      </c>
      <c r="K53" s="6">
        <f>100*[1]anual!$M52/[1]anual!$M51-100</f>
        <v>7.599895687774108</v>
      </c>
      <c r="L53" s="6">
        <f t="shared" ref="L53:L116" si="6">100*C53/B53</f>
        <v>74.943526201605863</v>
      </c>
      <c r="M53" s="6">
        <f t="shared" ref="M53:M116" si="7">100*D53/B53</f>
        <v>13.789195112358323</v>
      </c>
      <c r="N53" s="6">
        <f>100*([1]anual!$D52+[1]anual!$H52)/B53</f>
        <v>9.2791602498369858</v>
      </c>
      <c r="O53" s="6">
        <f>100*([1]anual!$J52-[1]anual!$K52)/B53</f>
        <v>1.3791231345909505</v>
      </c>
      <c r="P53" s="6">
        <f>[1]anual!$L52</f>
        <v>9.9543647980861198</v>
      </c>
      <c r="Q53" s="6">
        <f t="shared" si="0"/>
        <v>9.9543647980861198</v>
      </c>
    </row>
    <row r="54" spans="1:17" x14ac:dyDescent="0.35">
      <c r="A54">
        <v>1952</v>
      </c>
      <c r="B54" s="7">
        <f>[1]anual!$B53</f>
        <v>47347</v>
      </c>
      <c r="C54" s="7">
        <f>[1]anual!$C53</f>
        <v>34356</v>
      </c>
      <c r="D54" s="7">
        <f>[1]anual!$G53</f>
        <v>6519.4687415927701</v>
      </c>
      <c r="E54" s="5">
        <f t="shared" si="2"/>
        <v>10.765258738634479</v>
      </c>
      <c r="F54" s="5">
        <f t="shared" si="3"/>
        <v>10.444531954886115</v>
      </c>
      <c r="G54" s="5">
        <f t="shared" si="4"/>
        <v>8.7825481702501111</v>
      </c>
      <c r="H54" s="6">
        <f t="shared" ref="H54:H117" si="8">100*B54/B53-100</f>
        <v>5.8956408937397953</v>
      </c>
      <c r="I54" s="6">
        <f t="shared" ref="I54:I117" si="9">100*C54/C53-100</f>
        <v>2.5307389280171861</v>
      </c>
      <c r="J54" s="6">
        <f t="shared" ref="J54:J117" si="10">100*D54/D53-100</f>
        <v>5.7447725202924005</v>
      </c>
      <c r="K54" s="6">
        <f>100*[1]anual!$M53/[1]anual!$M52-100</f>
        <v>-12.957038301551535</v>
      </c>
      <c r="L54" s="6">
        <f t="shared" si="6"/>
        <v>72.562147548947138</v>
      </c>
      <c r="M54" s="6">
        <f t="shared" si="7"/>
        <v>13.769549795325513</v>
      </c>
      <c r="N54" s="6">
        <f>100*([1]anual!$D53+[1]anual!$H53)/B54</f>
        <v>11.30946490667567</v>
      </c>
      <c r="O54" s="6">
        <f>100*([1]anual!$J53-[1]anual!$K53)/B54</f>
        <v>1.9362744188719672</v>
      </c>
      <c r="P54" s="6">
        <f>[1]anual!$L53</f>
        <v>6.92081270880551</v>
      </c>
      <c r="Q54" s="6">
        <f t="shared" si="0"/>
        <v>6.92081270880551</v>
      </c>
    </row>
    <row r="55" spans="1:17" x14ac:dyDescent="0.35">
      <c r="A55">
        <v>1953</v>
      </c>
      <c r="B55" s="7">
        <f>[1]anual!$B54</f>
        <v>50085</v>
      </c>
      <c r="C55" s="7">
        <f>[1]anual!$C54</f>
        <v>36175</v>
      </c>
      <c r="D55" s="7">
        <f>[1]anual!$G54</f>
        <v>7399.7857489829503</v>
      </c>
      <c r="E55" s="5">
        <f t="shared" si="2"/>
        <v>10.821476841045865</v>
      </c>
      <c r="F55" s="5">
        <f t="shared" si="3"/>
        <v>10.496123551499684</v>
      </c>
      <c r="G55" s="5">
        <f t="shared" si="4"/>
        <v>8.9092063259329777</v>
      </c>
      <c r="H55" s="6">
        <f t="shared" si="8"/>
        <v>5.7828373497792853</v>
      </c>
      <c r="I55" s="6">
        <f t="shared" si="9"/>
        <v>5.2945628129002245</v>
      </c>
      <c r="J55" s="6">
        <f t="shared" si="10"/>
        <v>13.502894825984086</v>
      </c>
      <c r="K55" s="6">
        <f>100*[1]anual!$M54/[1]anual!$M53-100</f>
        <v>-14.12981847137273</v>
      </c>
      <c r="L55" s="6">
        <f t="shared" si="6"/>
        <v>72.227213736647698</v>
      </c>
      <c r="M55" s="6">
        <f t="shared" si="7"/>
        <v>14.774454924594091</v>
      </c>
      <c r="N55" s="6">
        <f>100*([1]anual!$D54+[1]anual!$H54)/B55</f>
        <v>10.365425000935829</v>
      </c>
      <c r="O55" s="6">
        <f>100*([1]anual!$J54-[1]anual!$K54)/B55</f>
        <v>2.1197117885037828</v>
      </c>
      <c r="P55" s="6">
        <f>[1]anual!$L54</f>
        <v>9.0867268299980708</v>
      </c>
      <c r="Q55" s="6">
        <f t="shared" si="0"/>
        <v>9.0867268299980708</v>
      </c>
    </row>
    <row r="56" spans="1:17" x14ac:dyDescent="0.35">
      <c r="A56">
        <v>1954</v>
      </c>
      <c r="B56" s="7">
        <f>[1]anual!$B55</f>
        <v>52762</v>
      </c>
      <c r="C56" s="7">
        <f>[1]anual!$C55</f>
        <v>38076</v>
      </c>
      <c r="D56" s="7">
        <f>[1]anual!$G55</f>
        <v>6284.67734292162</v>
      </c>
      <c r="E56" s="5">
        <f t="shared" si="2"/>
        <v>10.873546513618466</v>
      </c>
      <c r="F56" s="5">
        <f t="shared" si="3"/>
        <v>10.547339441371197</v>
      </c>
      <c r="G56" s="5">
        <f t="shared" si="4"/>
        <v>8.7458697820647782</v>
      </c>
      <c r="H56" s="6">
        <f t="shared" si="8"/>
        <v>5.3449136468004355</v>
      </c>
      <c r="I56" s="6">
        <f t="shared" si="9"/>
        <v>5.2550103662750587</v>
      </c>
      <c r="J56" s="6">
        <f t="shared" si="10"/>
        <v>-15.069468818264014</v>
      </c>
      <c r="K56" s="6">
        <f>100*[1]anual!$M55/[1]anual!$M54-100</f>
        <v>3.8947547582219642</v>
      </c>
      <c r="L56" s="6">
        <f t="shared" si="6"/>
        <v>72.165573708350706</v>
      </c>
      <c r="M56" s="6">
        <f t="shared" si="7"/>
        <v>11.91137057526557</v>
      </c>
      <c r="N56" s="6">
        <f>100*([1]anual!$D55+[1]anual!$H55)/B56</f>
        <v>10.732316054121817</v>
      </c>
      <c r="O56" s="6">
        <f>100*([1]anual!$J55-[1]anual!$K55)/B56</f>
        <v>4.4054435382964066</v>
      </c>
      <c r="P56" s="6">
        <f>[1]anual!$L55</f>
        <v>5.40468806674295</v>
      </c>
      <c r="Q56" s="6">
        <f t="shared" si="0"/>
        <v>5.40468806674295</v>
      </c>
    </row>
    <row r="57" spans="1:17" x14ac:dyDescent="0.35">
      <c r="A57">
        <v>1955</v>
      </c>
      <c r="B57" s="7">
        <f>[1]anual!$B56</f>
        <v>55858</v>
      </c>
      <c r="C57" s="7">
        <f>[1]anual!$C56</f>
        <v>41149</v>
      </c>
      <c r="D57" s="7">
        <f>[1]anual!$G56</f>
        <v>6474.7796354439597</v>
      </c>
      <c r="E57" s="5">
        <f t="shared" si="2"/>
        <v>10.930568035062993</v>
      </c>
      <c r="F57" s="5">
        <f t="shared" si="3"/>
        <v>10.624954904473361</v>
      </c>
      <c r="G57" s="5">
        <f t="shared" si="4"/>
        <v>8.7756698528525305</v>
      </c>
      <c r="H57" s="6">
        <f t="shared" si="8"/>
        <v>5.8678594442970251</v>
      </c>
      <c r="I57" s="6">
        <f t="shared" si="9"/>
        <v>8.0707007038554508</v>
      </c>
      <c r="J57" s="6">
        <f t="shared" si="10"/>
        <v>3.0248536583417547</v>
      </c>
      <c r="K57" s="6">
        <f>100*[1]anual!$M56/[1]anual!$M55-100</f>
        <v>5.5328165747414317</v>
      </c>
      <c r="L57" s="6">
        <f t="shared" si="6"/>
        <v>73.667156002721185</v>
      </c>
      <c r="M57" s="6">
        <f t="shared" si="7"/>
        <v>11.591499222034372</v>
      </c>
      <c r="N57" s="6">
        <f>100*([1]anual!$D56+[1]anual!$H56)/B57</f>
        <v>12.179902343224551</v>
      </c>
      <c r="O57" s="6">
        <f>100*([1]anual!$J56-[1]anual!$K56)/B57</f>
        <v>2.0955347174659145</v>
      </c>
      <c r="P57" s="6">
        <f>[1]anual!$L56</f>
        <v>4.70227612405803</v>
      </c>
      <c r="Q57" s="6">
        <f t="shared" si="0"/>
        <v>4.70227612405803</v>
      </c>
    </row>
    <row r="58" spans="1:17" x14ac:dyDescent="0.35">
      <c r="A58">
        <v>1956</v>
      </c>
      <c r="B58" s="7">
        <f>[1]anual!$B57</f>
        <v>58484</v>
      </c>
      <c r="C58" s="7">
        <f>[1]anual!$C57</f>
        <v>42263</v>
      </c>
      <c r="D58" s="7">
        <f>[1]anual!$G57</f>
        <v>8812.0734094192903</v>
      </c>
      <c r="E58" s="5">
        <f t="shared" si="2"/>
        <v>10.976508491537329</v>
      </c>
      <c r="F58" s="5">
        <f t="shared" si="3"/>
        <v>10.651667277765442</v>
      </c>
      <c r="G58" s="5">
        <f t="shared" si="4"/>
        <v>9.0838780385070628</v>
      </c>
      <c r="H58" s="6">
        <f t="shared" si="8"/>
        <v>4.7012066311002911</v>
      </c>
      <c r="I58" s="6">
        <f t="shared" si="9"/>
        <v>2.7072346837104249</v>
      </c>
      <c r="J58" s="6">
        <f t="shared" si="10"/>
        <v>36.098429685245463</v>
      </c>
      <c r="K58" s="6">
        <f>100*[1]anual!$M57/[1]anual!$M56-100</f>
        <v>1.4541703446199108</v>
      </c>
      <c r="L58" s="6">
        <f t="shared" si="6"/>
        <v>72.264209014431302</v>
      </c>
      <c r="M58" s="6">
        <f t="shared" si="7"/>
        <v>15.067494373536848</v>
      </c>
      <c r="N58" s="6">
        <f>100*([1]anual!$D57+[1]anual!$H57)/B58</f>
        <v>11.351887408598575</v>
      </c>
      <c r="O58" s="6">
        <f>100*([1]anual!$J57-[1]anual!$K57)/B58</f>
        <v>1.0582719473794373</v>
      </c>
      <c r="P58" s="6">
        <f>[1]anual!$L57</f>
        <v>5.4741371082719601</v>
      </c>
      <c r="Q58" s="6">
        <f t="shared" si="0"/>
        <v>5.4741371082719601</v>
      </c>
    </row>
    <row r="59" spans="1:17" x14ac:dyDescent="0.35">
      <c r="A59">
        <v>1957</v>
      </c>
      <c r="B59" s="7">
        <f>[1]anual!$B58</f>
        <v>62371</v>
      </c>
      <c r="C59" s="7">
        <f>[1]anual!$C58</f>
        <v>44707</v>
      </c>
      <c r="D59" s="7">
        <f>[1]anual!$G58</f>
        <v>10021.5000076531</v>
      </c>
      <c r="E59" s="5">
        <f t="shared" si="2"/>
        <v>11.040855702741002</v>
      </c>
      <c r="F59" s="5">
        <f t="shared" si="3"/>
        <v>10.707885367893804</v>
      </c>
      <c r="G59" s="5">
        <f t="shared" si="4"/>
        <v>9.2124880647973093</v>
      </c>
      <c r="H59" s="6">
        <f t="shared" si="8"/>
        <v>6.6462622255659625</v>
      </c>
      <c r="I59" s="6">
        <f t="shared" si="9"/>
        <v>5.7828360504460221</v>
      </c>
      <c r="J59" s="6">
        <f t="shared" si="10"/>
        <v>13.724654142588548</v>
      </c>
      <c r="K59" s="6">
        <f>100*[1]anual!$M58/[1]anual!$M57-100</f>
        <v>0.42360562908547195</v>
      </c>
      <c r="L59" s="6">
        <f t="shared" si="6"/>
        <v>71.679145756842118</v>
      </c>
      <c r="M59" s="6">
        <f t="shared" si="7"/>
        <v>16.067563463233071</v>
      </c>
      <c r="N59" s="6">
        <f>100*([1]anual!$D58+[1]anual!$H58)/B59</f>
        <v>11.45347593635066</v>
      </c>
      <c r="O59" s="6">
        <f>100*([1]anual!$J58-[1]anual!$K58)/B59</f>
        <v>9.0411900037163928E-2</v>
      </c>
      <c r="P59" s="6">
        <f>[1]anual!$L58</f>
        <v>7.4000550224373001</v>
      </c>
      <c r="Q59" s="6">
        <f t="shared" si="0"/>
        <v>7.4000550224373001</v>
      </c>
    </row>
    <row r="60" spans="1:17" x14ac:dyDescent="0.35">
      <c r="A60">
        <v>1958</v>
      </c>
      <c r="B60" s="7">
        <f>[1]anual!$B59</f>
        <v>61706</v>
      </c>
      <c r="C60" s="7">
        <f>[1]anual!$C59</f>
        <v>44274</v>
      </c>
      <c r="D60" s="7">
        <f>[1]anual!$G59</f>
        <v>8769.1736528324709</v>
      </c>
      <c r="E60" s="5">
        <f t="shared" si="2"/>
        <v>11.030136449898094</v>
      </c>
      <c r="F60" s="5">
        <f t="shared" si="3"/>
        <v>10.698152876286422</v>
      </c>
      <c r="G60" s="5">
        <f t="shared" si="4"/>
        <v>9.0789978566203935</v>
      </c>
      <c r="H60" s="6">
        <f t="shared" si="8"/>
        <v>-1.066200638117067</v>
      </c>
      <c r="I60" s="6">
        <f t="shared" si="9"/>
        <v>-0.96852841836849279</v>
      </c>
      <c r="J60" s="6">
        <f t="shared" si="10"/>
        <v>-12.496396286626421</v>
      </c>
      <c r="K60" s="6">
        <f>100*[1]anual!$M59/[1]anual!$M58-100</f>
        <v>-15.664951944340316</v>
      </c>
      <c r="L60" s="6">
        <f t="shared" si="6"/>
        <v>71.749910867662791</v>
      </c>
      <c r="M60" s="6">
        <f t="shared" si="7"/>
        <v>14.211217147169595</v>
      </c>
      <c r="N60" s="6">
        <f>100*([1]anual!$D59+[1]anual!$H59)/B60</f>
        <v>11.633211690267689</v>
      </c>
      <c r="O60" s="6">
        <f>100*([1]anual!$J59-[1]anual!$K59)/B60</f>
        <v>1.9231647849588365</v>
      </c>
      <c r="P60" s="6">
        <f>[1]anual!$L59</f>
        <v>7.9405555417016798</v>
      </c>
      <c r="Q60" s="6">
        <f t="shared" si="0"/>
        <v>7.9405555417016798</v>
      </c>
    </row>
    <row r="61" spans="1:17" x14ac:dyDescent="0.35">
      <c r="A61">
        <v>1959</v>
      </c>
      <c r="B61" s="7">
        <f>[1]anual!$B60</f>
        <v>63653</v>
      </c>
      <c r="C61" s="7">
        <f>[1]anual!$C60</f>
        <v>44719</v>
      </c>
      <c r="D61" s="7">
        <f>[1]anual!$G60</f>
        <v>7066.60755342631</v>
      </c>
      <c r="E61" s="5">
        <f t="shared" si="2"/>
        <v>11.061201735632105</v>
      </c>
      <c r="F61" s="5">
        <f t="shared" si="3"/>
        <v>10.708153746219391</v>
      </c>
      <c r="G61" s="5">
        <f t="shared" si="4"/>
        <v>8.8631358068758246</v>
      </c>
      <c r="H61" s="6">
        <f t="shared" si="8"/>
        <v>3.1552847373026935</v>
      </c>
      <c r="I61" s="6">
        <f t="shared" si="9"/>
        <v>1.005104576049149</v>
      </c>
      <c r="J61" s="6">
        <f t="shared" si="10"/>
        <v>-19.415353906878408</v>
      </c>
      <c r="K61" s="6">
        <f>100*[1]anual!$M60/[1]anual!$M59-100</f>
        <v>2.0909723366264501</v>
      </c>
      <c r="L61" s="6">
        <f t="shared" si="6"/>
        <v>70.254347791934393</v>
      </c>
      <c r="M61" s="6">
        <f t="shared" si="7"/>
        <v>11.101766693520039</v>
      </c>
      <c r="N61" s="6">
        <f>100*([1]anual!$D60+[1]anual!$H60)/B61</f>
        <v>11.60856444990706</v>
      </c>
      <c r="O61" s="6">
        <f>100*([1]anual!$J60-[1]anual!$K60)/B61</f>
        <v>5.8175453444338663</v>
      </c>
      <c r="P61" s="6">
        <f>[1]anual!$L60</f>
        <v>12.702214773217399</v>
      </c>
      <c r="Q61" s="6">
        <f t="shared" si="0"/>
        <v>12.702214773217399</v>
      </c>
    </row>
    <row r="62" spans="1:17" x14ac:dyDescent="0.35">
      <c r="A62">
        <v>1960</v>
      </c>
      <c r="B62" s="7">
        <f>[1]anual!$B61</f>
        <v>69946</v>
      </c>
      <c r="C62" s="7">
        <f>[1]anual!$C61</f>
        <v>46682</v>
      </c>
      <c r="D62" s="7">
        <f>[1]anual!$G61</f>
        <v>7739.6636606246102</v>
      </c>
      <c r="E62" s="5">
        <f t="shared" si="2"/>
        <v>11.155478794755933</v>
      </c>
      <c r="F62" s="5">
        <f t="shared" si="3"/>
        <v>10.751113930384133</v>
      </c>
      <c r="G62" s="5">
        <f t="shared" si="4"/>
        <v>8.9541135109399264</v>
      </c>
      <c r="H62" s="6">
        <f t="shared" si="8"/>
        <v>9.8864154085432006</v>
      </c>
      <c r="I62" s="6">
        <f t="shared" si="9"/>
        <v>4.3896330418837692</v>
      </c>
      <c r="J62" s="6">
        <f t="shared" si="10"/>
        <v>9.5244585483166304</v>
      </c>
      <c r="K62" s="6">
        <f>100*[1]anual!$M61/[1]anual!$M60-100</f>
        <v>-2.670575075006937</v>
      </c>
      <c r="L62" s="6">
        <f t="shared" si="6"/>
        <v>66.740056615103086</v>
      </c>
      <c r="M62" s="6">
        <f t="shared" si="7"/>
        <v>11.065198382501659</v>
      </c>
      <c r="N62" s="6">
        <f>100*([1]anual!$D61+[1]anual!$H61)/B62</f>
        <v>12.058619179355075</v>
      </c>
      <c r="O62" s="6">
        <f>100*([1]anual!$J61-[1]anual!$K61)/B62</f>
        <v>7.6606270581856002</v>
      </c>
      <c r="P62" s="6">
        <f>[1]anual!$L61</f>
        <v>8.6255513085241695</v>
      </c>
      <c r="Q62" s="6">
        <f t="shared" si="0"/>
        <v>8.6255513085241695</v>
      </c>
    </row>
    <row r="63" spans="1:17" x14ac:dyDescent="0.35">
      <c r="A63">
        <v>1961</v>
      </c>
      <c r="B63" s="7">
        <f>[1]anual!$B62</f>
        <v>75085</v>
      </c>
      <c r="C63" s="7">
        <f>[1]anual!$C62</f>
        <v>48688</v>
      </c>
      <c r="D63" s="7">
        <f>[1]anual!$G62</f>
        <v>8835.4208429803402</v>
      </c>
      <c r="E63" s="5">
        <f t="shared" si="2"/>
        <v>11.226376084114381</v>
      </c>
      <c r="F63" s="5">
        <f t="shared" si="3"/>
        <v>10.793187872136752</v>
      </c>
      <c r="G63" s="5">
        <f t="shared" si="4"/>
        <v>9.0865240172334261</v>
      </c>
      <c r="H63" s="6">
        <f t="shared" si="8"/>
        <v>7.3470963314556883</v>
      </c>
      <c r="I63" s="6">
        <f t="shared" si="9"/>
        <v>4.2971595047341538</v>
      </c>
      <c r="J63" s="6">
        <f t="shared" si="10"/>
        <v>14.157684757418764</v>
      </c>
      <c r="K63" s="6">
        <f>100*[1]anual!$M62/[1]anual!$M61-100</f>
        <v>-5.1337124128832698</v>
      </c>
      <c r="L63" s="6">
        <f t="shared" si="6"/>
        <v>64.843843643870287</v>
      </c>
      <c r="M63" s="6">
        <f t="shared" si="7"/>
        <v>11.767224935713312</v>
      </c>
      <c r="N63" s="6">
        <f>100*([1]anual!$D62+[1]anual!$H62)/B63</f>
        <v>14.537628476569074</v>
      </c>
      <c r="O63" s="6">
        <f>100*([1]anual!$J62-[1]anual!$K62)/B63</f>
        <v>8.0351087336314979</v>
      </c>
      <c r="P63" s="6">
        <f>[1]anual!$L62</f>
        <v>6.01965054604862</v>
      </c>
      <c r="Q63" s="6">
        <f t="shared" si="0"/>
        <v>6.01965054604862</v>
      </c>
    </row>
    <row r="64" spans="1:17" x14ac:dyDescent="0.35">
      <c r="A64">
        <v>1962</v>
      </c>
      <c r="B64" s="7">
        <f>[1]anual!$B63</f>
        <v>82620</v>
      </c>
      <c r="C64" s="7">
        <f>[1]anual!$C63</f>
        <v>54666</v>
      </c>
      <c r="D64" s="7">
        <f>[1]anual!$G63</f>
        <v>10573.441532418399</v>
      </c>
      <c r="E64" s="5">
        <f t="shared" si="2"/>
        <v>11.322007060950755</v>
      </c>
      <c r="F64" s="5">
        <f t="shared" si="3"/>
        <v>10.908997222941913</v>
      </c>
      <c r="G64" s="5">
        <f t="shared" si="4"/>
        <v>9.2661006202330825</v>
      </c>
      <c r="H64" s="6">
        <f t="shared" si="8"/>
        <v>10.035293334221222</v>
      </c>
      <c r="I64" s="6">
        <f t="shared" si="9"/>
        <v>12.278179428195855</v>
      </c>
      <c r="J64" s="6">
        <f t="shared" si="10"/>
        <v>19.67105721759593</v>
      </c>
      <c r="K64" s="6">
        <f>100*[1]anual!$M63/[1]anual!$M62-100</f>
        <v>4.4600313400869709</v>
      </c>
      <c r="L64" s="6">
        <f t="shared" si="6"/>
        <v>66.165577342047925</v>
      </c>
      <c r="M64" s="6">
        <f t="shared" si="7"/>
        <v>12.797677962259018</v>
      </c>
      <c r="N64" s="6">
        <f>100*([1]anual!$D63+[1]anual!$H63)/B64</f>
        <v>13.438615465165007</v>
      </c>
      <c r="O64" s="6">
        <f>100*([1]anual!$J63-[1]anual!$K63)/B64</f>
        <v>7.0791914551356818</v>
      </c>
      <c r="P64" s="6">
        <f>[1]anual!$L63</f>
        <v>6.6184553512499598</v>
      </c>
      <c r="Q64" s="6">
        <f t="shared" si="0"/>
        <v>6.6184553512499598</v>
      </c>
    </row>
    <row r="65" spans="1:19" x14ac:dyDescent="0.35">
      <c r="A65">
        <v>1963</v>
      </c>
      <c r="B65" s="7">
        <f>[1]anual!$B64</f>
        <v>86196</v>
      </c>
      <c r="C65" s="7">
        <f>[1]anual!$C64</f>
        <v>59612</v>
      </c>
      <c r="D65" s="7">
        <f>[1]anual!$G64</f>
        <v>9897.6583650463399</v>
      </c>
      <c r="E65" s="5">
        <f t="shared" si="2"/>
        <v>11.364379051862802</v>
      </c>
      <c r="F65" s="5">
        <f t="shared" si="3"/>
        <v>10.995612175068683</v>
      </c>
      <c r="G65" s="5">
        <f t="shared" si="4"/>
        <v>9.2000534793621398</v>
      </c>
      <c r="H65" s="6">
        <f t="shared" si="8"/>
        <v>4.3282498184458973</v>
      </c>
      <c r="I65" s="6">
        <f t="shared" si="9"/>
        <v>9.0476713130647965</v>
      </c>
      <c r="J65" s="6">
        <f t="shared" si="10"/>
        <v>-6.3913264692493357</v>
      </c>
      <c r="K65" s="6">
        <f>100*[1]anual!$M64/[1]anual!$M63-100</f>
        <v>5.4340493713528701</v>
      </c>
      <c r="L65" s="6">
        <f t="shared" si="6"/>
        <v>69.158661654833168</v>
      </c>
      <c r="M65" s="6">
        <f t="shared" si="7"/>
        <v>11.482735121173071</v>
      </c>
      <c r="N65" s="6">
        <f>100*([1]anual!$D64+[1]anual!$H64)/B65</f>
        <v>13.583567131679928</v>
      </c>
      <c r="O65" s="6">
        <f>100*([1]anual!$J64-[1]anual!$K64)/B65</f>
        <v>5.0803422900879394</v>
      </c>
      <c r="P65" s="6">
        <f>[1]anual!$L64</f>
        <v>6.02329817188647</v>
      </c>
      <c r="Q65" s="6">
        <f t="shared" si="0"/>
        <v>6.02329817188647</v>
      </c>
    </row>
    <row r="66" spans="1:19" x14ac:dyDescent="0.35">
      <c r="A66">
        <v>1964</v>
      </c>
      <c r="B66" s="7">
        <f>[1]anual!$B65</f>
        <v>91840</v>
      </c>
      <c r="C66" s="7">
        <f>[1]anual!$C65</f>
        <v>63353</v>
      </c>
      <c r="D66" s="7">
        <f>[1]anual!$G65</f>
        <v>9112.4109106947508</v>
      </c>
      <c r="E66" s="5">
        <f t="shared" si="2"/>
        <v>11.427803211553393</v>
      </c>
      <c r="F66" s="5">
        <f t="shared" si="3"/>
        <v>11.056477540586986</v>
      </c>
      <c r="G66" s="5">
        <f t="shared" si="4"/>
        <v>9.1173925996649796</v>
      </c>
      <c r="H66" s="6">
        <f t="shared" si="8"/>
        <v>6.5478676504710194</v>
      </c>
      <c r="I66" s="6">
        <f t="shared" si="9"/>
        <v>6.2755820975642536</v>
      </c>
      <c r="J66" s="6">
        <f t="shared" si="10"/>
        <v>-7.9336690092749365</v>
      </c>
      <c r="K66" s="6">
        <f>100*[1]anual!$M65/[1]anual!$M64-100</f>
        <v>2.0113752552510391</v>
      </c>
      <c r="L66" s="6">
        <f t="shared" si="6"/>
        <v>68.98192508710801</v>
      </c>
      <c r="M66" s="6">
        <f t="shared" si="7"/>
        <v>9.9220502076380122</v>
      </c>
      <c r="N66" s="6">
        <f>100*([1]anual!$D65+[1]anual!$H65)/B66</f>
        <v>14.844605281695777</v>
      </c>
      <c r="O66" s="6">
        <f>100*([1]anual!$J65-[1]anual!$K65)/B66</f>
        <v>5.1091224932994317</v>
      </c>
      <c r="P66" s="6">
        <f>[1]anual!$L65</f>
        <v>9.8532790452087706</v>
      </c>
      <c r="Q66" s="6">
        <f t="shared" si="0"/>
        <v>9.8532790452087706</v>
      </c>
    </row>
    <row r="67" spans="1:19" x14ac:dyDescent="0.35">
      <c r="A67">
        <v>1965</v>
      </c>
      <c r="B67" s="7">
        <f>[1]anual!$B66</f>
        <v>97003</v>
      </c>
      <c r="C67" s="7">
        <f>[1]anual!$C66</f>
        <v>67778</v>
      </c>
      <c r="D67" s="7">
        <f>[1]anual!$G66</f>
        <v>10646.691178111299</v>
      </c>
      <c r="E67" s="5">
        <f t="shared" si="2"/>
        <v>11.482497184842316</v>
      </c>
      <c r="F67" s="5">
        <f t="shared" si="3"/>
        <v>11.123992937496425</v>
      </c>
      <c r="G67" s="5">
        <f t="shared" si="4"/>
        <v>9.2730044353629246</v>
      </c>
      <c r="H67" s="6">
        <f t="shared" si="8"/>
        <v>5.6217334494773468</v>
      </c>
      <c r="I67" s="6">
        <f t="shared" si="9"/>
        <v>6.9846731804334468</v>
      </c>
      <c r="J67" s="6">
        <f t="shared" si="10"/>
        <v>16.837259452554378</v>
      </c>
      <c r="K67" s="6">
        <f>100*[1]anual!$M66/[1]anual!$M65-100</f>
        <v>2.1004370680568769</v>
      </c>
      <c r="L67" s="6">
        <f t="shared" si="6"/>
        <v>69.872065812397551</v>
      </c>
      <c r="M67" s="6">
        <f t="shared" si="7"/>
        <v>10.975630834212652</v>
      </c>
      <c r="N67" s="6">
        <f>100*([1]anual!$D66+[1]anual!$H66)/B67</f>
        <v>15.630864432005154</v>
      </c>
      <c r="O67" s="6">
        <f>100*([1]anual!$J66-[1]anual!$K66)/B67</f>
        <v>3.0998633283380927</v>
      </c>
      <c r="P67" s="6">
        <f>[1]anual!$L66</f>
        <v>16.362830478809801</v>
      </c>
      <c r="Q67" s="6">
        <f t="shared" si="0"/>
        <v>16.362830478809801</v>
      </c>
    </row>
    <row r="68" spans="1:19" x14ac:dyDescent="0.35">
      <c r="A68">
        <v>1966</v>
      </c>
      <c r="B68" s="7">
        <f>[1]anual!$B67</f>
        <v>104995</v>
      </c>
      <c r="C68" s="7">
        <f>[1]anual!$C67</f>
        <v>74505</v>
      </c>
      <c r="D68" s="7">
        <f>[1]anual!$G67</f>
        <v>11845.486688749899</v>
      </c>
      <c r="E68" s="5">
        <f t="shared" si="2"/>
        <v>11.561668008958218</v>
      </c>
      <c r="F68" s="5">
        <f t="shared" si="3"/>
        <v>11.218621516209561</v>
      </c>
      <c r="G68" s="5">
        <f t="shared" si="4"/>
        <v>9.3797022038661328</v>
      </c>
      <c r="H68" s="6">
        <f t="shared" si="8"/>
        <v>8.2389204457594047</v>
      </c>
      <c r="I68" s="6">
        <f t="shared" si="9"/>
        <v>9.92504942606746</v>
      </c>
      <c r="J68" s="6">
        <f t="shared" si="10"/>
        <v>11.259794151850883</v>
      </c>
      <c r="K68" s="6">
        <f>100*[1]anual!$M67/[1]anual!$M66-100</f>
        <v>15.33968554599474</v>
      </c>
      <c r="L68" s="6">
        <f t="shared" si="6"/>
        <v>70.960521929615695</v>
      </c>
      <c r="M68" s="6">
        <f t="shared" si="7"/>
        <v>11.281953129910853</v>
      </c>
      <c r="N68" s="6">
        <f>100*([1]anual!$D67+[1]anual!$H67)/B68</f>
        <v>14.966798967426591</v>
      </c>
      <c r="O68" s="6">
        <f>100*([1]anual!$J67-[1]anual!$K67)/B68</f>
        <v>1.742715567005666</v>
      </c>
      <c r="P68" s="6">
        <f>[1]anual!$L67</f>
        <v>8.88864686218378</v>
      </c>
      <c r="Q68" s="6">
        <f t="shared" ref="Q68:Q79" si="11">P68</f>
        <v>8.88864686218378</v>
      </c>
    </row>
    <row r="69" spans="1:19" x14ac:dyDescent="0.35">
      <c r="A69">
        <v>1967</v>
      </c>
      <c r="B69" s="7">
        <f>[1]anual!$B68</f>
        <v>109040</v>
      </c>
      <c r="C69" s="7">
        <f>[1]anual!$C68</f>
        <v>79682</v>
      </c>
      <c r="D69" s="7">
        <f>[1]anual!$G68</f>
        <v>11098.863349101999</v>
      </c>
      <c r="E69" s="5">
        <f t="shared" si="2"/>
        <v>11.599470066370415</v>
      </c>
      <c r="F69" s="5">
        <f t="shared" si="3"/>
        <v>11.285798992345077</v>
      </c>
      <c r="G69" s="5">
        <f t="shared" si="4"/>
        <v>9.3145979810752859</v>
      </c>
      <c r="H69" s="6">
        <f t="shared" si="8"/>
        <v>3.8525644078289503</v>
      </c>
      <c r="I69" s="6">
        <f t="shared" si="9"/>
        <v>6.9485269445003723</v>
      </c>
      <c r="J69" s="6">
        <f t="shared" si="10"/>
        <v>-6.3030195319622919</v>
      </c>
      <c r="K69" s="6">
        <f>100*[1]anual!$M68/[1]anual!$M67-100</f>
        <v>-8.4032712733403372</v>
      </c>
      <c r="L69" s="6">
        <f t="shared" si="6"/>
        <v>73.075935436537051</v>
      </c>
      <c r="M69" s="6">
        <f t="shared" si="7"/>
        <v>10.178708133805943</v>
      </c>
      <c r="N69" s="6">
        <f>100*([1]anual!$D68+[1]anual!$H68)/B69</f>
        <v>14.283933838530825</v>
      </c>
      <c r="O69" s="6">
        <f>100*([1]anual!$J68-[1]anual!$K68)/B69</f>
        <v>0.98662569016351642</v>
      </c>
      <c r="P69" s="6">
        <f>[1]anual!$L68</f>
        <v>11.455410156528099</v>
      </c>
      <c r="Q69" s="6">
        <f t="shared" si="11"/>
        <v>11.455410156528099</v>
      </c>
    </row>
    <row r="70" spans="1:19" x14ac:dyDescent="0.35">
      <c r="A70">
        <v>1968</v>
      </c>
      <c r="B70" s="7">
        <f>[1]anual!$B69</f>
        <v>109206</v>
      </c>
      <c r="C70" s="7">
        <f>[1]anual!$C69</f>
        <v>78662</v>
      </c>
      <c r="D70" s="7">
        <f>[1]anual!$G69</f>
        <v>9328.4205057726904</v>
      </c>
      <c r="E70" s="5">
        <f t="shared" si="2"/>
        <v>11.600991285838463</v>
      </c>
      <c r="F70" s="5">
        <f t="shared" si="3"/>
        <v>11.272915471546117</v>
      </c>
      <c r="G70" s="5">
        <f t="shared" si="4"/>
        <v>9.1408209875241049</v>
      </c>
      <c r="H70" s="6">
        <f t="shared" si="8"/>
        <v>0.15223771093177163</v>
      </c>
      <c r="I70" s="6">
        <f t="shared" si="9"/>
        <v>-1.2800883511959995</v>
      </c>
      <c r="J70" s="6">
        <f t="shared" si="10"/>
        <v>-15.95156898181429</v>
      </c>
      <c r="K70" s="6">
        <f>100*[1]anual!$M69/[1]anual!$M68-100</f>
        <v>-1.8135744639649118</v>
      </c>
      <c r="L70" s="6">
        <f t="shared" si="6"/>
        <v>72.030840796293248</v>
      </c>
      <c r="M70" s="6">
        <f t="shared" si="7"/>
        <v>8.5420402777985558</v>
      </c>
      <c r="N70" s="6">
        <f>100*([1]anual!$D69+[1]anual!$H69)/B70</f>
        <v>14.607826758527553</v>
      </c>
      <c r="O70" s="6">
        <f>100*([1]anual!$J69-[1]anual!$K69)/B70</f>
        <v>4.4005875291708314</v>
      </c>
      <c r="P70" s="6">
        <f>[1]anual!$L69</f>
        <v>19.1166742092087</v>
      </c>
      <c r="Q70" s="6">
        <f t="shared" si="11"/>
        <v>19.1166742092087</v>
      </c>
    </row>
    <row r="71" spans="1:19" x14ac:dyDescent="0.35">
      <c r="A71">
        <v>1969</v>
      </c>
      <c r="B71" s="7">
        <f>[1]anual!$B70</f>
        <v>113044</v>
      </c>
      <c r="C71" s="7">
        <f>[1]anual!$C70</f>
        <v>81410</v>
      </c>
      <c r="D71" s="7">
        <f>[1]anual!$G70</f>
        <v>9240.6293231407399</v>
      </c>
      <c r="E71" s="5">
        <f t="shared" si="2"/>
        <v>11.635532402436525</v>
      </c>
      <c r="F71" s="5">
        <f t="shared" si="3"/>
        <v>11.307253394568024</v>
      </c>
      <c r="G71" s="5">
        <f t="shared" si="4"/>
        <v>9.1313652708814619</v>
      </c>
      <c r="H71" s="6">
        <f t="shared" si="8"/>
        <v>3.5144589125139589</v>
      </c>
      <c r="I71" s="6">
        <f t="shared" si="9"/>
        <v>3.4934275762121416</v>
      </c>
      <c r="J71" s="6">
        <f t="shared" si="10"/>
        <v>-0.94111519284130907</v>
      </c>
      <c r="K71" s="6">
        <f>100*[1]anual!$M70/[1]anual!$M69-100</f>
        <v>11.22184454587422</v>
      </c>
      <c r="L71" s="6">
        <f t="shared" si="6"/>
        <v>72.016206079048871</v>
      </c>
      <c r="M71" s="6">
        <f t="shared" si="7"/>
        <v>8.1743651349392632</v>
      </c>
      <c r="N71" s="6">
        <f>100*([1]anual!$D70+[1]anual!$H70)/B71</f>
        <v>15.255079185982396</v>
      </c>
      <c r="O71" s="6">
        <f>100*([1]anual!$J70-[1]anual!$K70)/B71</f>
        <v>4.0001683264675707</v>
      </c>
      <c r="P71" s="6">
        <f>[1]anual!$L70</f>
        <v>6.2306781796362696</v>
      </c>
      <c r="Q71" s="6">
        <f t="shared" si="11"/>
        <v>6.2306781796362696</v>
      </c>
    </row>
    <row r="72" spans="1:19" x14ac:dyDescent="0.35">
      <c r="A72">
        <v>1970</v>
      </c>
      <c r="B72" s="7">
        <f>[1]anual!$B71</f>
        <v>116849</v>
      </c>
      <c r="C72" s="7">
        <f>[1]anual!$C71</f>
        <v>83297</v>
      </c>
      <c r="D72" s="7">
        <f>[1]anual!$G71</f>
        <v>10089.3769217884</v>
      </c>
      <c r="E72" s="5">
        <f t="shared" si="2"/>
        <v>11.668637781950068</v>
      </c>
      <c r="F72" s="5">
        <f t="shared" si="3"/>
        <v>11.330167813100637</v>
      </c>
      <c r="G72" s="5">
        <f t="shared" si="4"/>
        <v>9.2192383593882319</v>
      </c>
      <c r="H72" s="6">
        <f t="shared" si="8"/>
        <v>3.3659460033261439</v>
      </c>
      <c r="I72" s="6">
        <f t="shared" si="9"/>
        <v>2.3178970642427288</v>
      </c>
      <c r="J72" s="6">
        <f t="shared" si="10"/>
        <v>9.1849544978738038</v>
      </c>
      <c r="K72" s="6">
        <f>100*[1]anual!$M71/[1]anual!$M70-100</f>
        <v>-2.3212461098172383</v>
      </c>
      <c r="L72" s="6">
        <f t="shared" si="6"/>
        <v>71.286018707905072</v>
      </c>
      <c r="M72" s="6">
        <f t="shared" si="7"/>
        <v>8.6345428046353838</v>
      </c>
      <c r="N72" s="6">
        <f>100*([1]anual!$D71+[1]anual!$H71)/B72</f>
        <v>15.963151597118785</v>
      </c>
      <c r="O72" s="6">
        <f>100*([1]anual!$J71-[1]anual!$K71)/B72</f>
        <v>3.9248526371123429</v>
      </c>
      <c r="P72" s="6">
        <f>[1]anual!$L71</f>
        <v>5.0174015288193301</v>
      </c>
      <c r="Q72" s="6">
        <f t="shared" si="11"/>
        <v>5.0174015288193301</v>
      </c>
      <c r="S72" s="6">
        <f>[1]anual!$N71</f>
        <v>-0.85840930711247099</v>
      </c>
    </row>
    <row r="73" spans="1:19" x14ac:dyDescent="0.35">
      <c r="A73">
        <v>1971</v>
      </c>
      <c r="B73" s="7">
        <f>[1]anual!$B72</f>
        <v>122213</v>
      </c>
      <c r="C73" s="7">
        <f>[1]anual!$C72</f>
        <v>87096</v>
      </c>
      <c r="D73" s="7">
        <f>[1]anual!$G72</f>
        <v>11284.3230948532</v>
      </c>
      <c r="E73" s="5">
        <f t="shared" si="2"/>
        <v>11.713520703040087</v>
      </c>
      <c r="F73" s="5">
        <f t="shared" si="3"/>
        <v>11.374766237561015</v>
      </c>
      <c r="G73" s="5">
        <f t="shared" si="4"/>
        <v>9.3311697047191657</v>
      </c>
      <c r="H73" s="6">
        <f t="shared" si="8"/>
        <v>4.5905399275988685</v>
      </c>
      <c r="I73" s="6">
        <f t="shared" si="9"/>
        <v>4.5607885037876486</v>
      </c>
      <c r="J73" s="6">
        <f t="shared" si="10"/>
        <v>11.843607215072595</v>
      </c>
      <c r="K73" s="6">
        <f>100*[1]anual!$M72/[1]anual!$M71-100</f>
        <v>-11.875525167645776</v>
      </c>
      <c r="L73" s="6">
        <f t="shared" si="6"/>
        <v>71.265740960454295</v>
      </c>
      <c r="M73" s="6">
        <f t="shared" si="7"/>
        <v>9.2333246830150646</v>
      </c>
      <c r="N73" s="6">
        <f>100*([1]anual!$D72+[1]anual!$H72)/B73</f>
        <v>16.622261442091691</v>
      </c>
      <c r="O73" s="6">
        <f>100*([1]anual!$J72-[1]anual!$K72)/B73</f>
        <v>2.517817472518471</v>
      </c>
      <c r="P73" s="6">
        <f>[1]anual!$L72</f>
        <v>6.8065718773359798</v>
      </c>
      <c r="Q73" s="6">
        <f t="shared" si="11"/>
        <v>6.8065718773359798</v>
      </c>
      <c r="S73" s="6">
        <f>[1]anual!$N72</f>
        <v>-1.48069792048792</v>
      </c>
    </row>
    <row r="74" spans="1:19" x14ac:dyDescent="0.35">
      <c r="A74">
        <v>1972</v>
      </c>
      <c r="B74" s="7">
        <f>[1]anual!$B73</f>
        <v>126463</v>
      </c>
      <c r="C74" s="7">
        <f>[1]anual!$C73</f>
        <v>89075</v>
      </c>
      <c r="D74" s="7">
        <f>[1]anual!$G73</f>
        <v>11492.0302153871</v>
      </c>
      <c r="E74" s="5">
        <f t="shared" si="2"/>
        <v>11.747705054247557</v>
      </c>
      <c r="F74" s="5">
        <f t="shared" si="3"/>
        <v>11.397233990474037</v>
      </c>
      <c r="G74" s="5">
        <f t="shared" si="4"/>
        <v>9.3494090493497346</v>
      </c>
      <c r="H74" s="6">
        <f t="shared" si="8"/>
        <v>3.4775351231047438</v>
      </c>
      <c r="I74" s="6">
        <f t="shared" si="9"/>
        <v>2.2722053825663693</v>
      </c>
      <c r="J74" s="6">
        <f t="shared" si="10"/>
        <v>1.8406697396730465</v>
      </c>
      <c r="K74" s="6">
        <f>100*[1]anual!$M73/[1]anual!$M72-100</f>
        <v>-7.8388277238839521</v>
      </c>
      <c r="L74" s="6">
        <f t="shared" si="6"/>
        <v>70.435621486126379</v>
      </c>
      <c r="M74" s="6">
        <f t="shared" si="7"/>
        <v>9.0872668016630165</v>
      </c>
      <c r="N74" s="6">
        <f>100*([1]anual!$D73+[1]anual!$H73)/B74</f>
        <v>17.209747892233271</v>
      </c>
      <c r="O74" s="6">
        <f>100*([1]anual!$J73-[1]anual!$K73)/B74</f>
        <v>4.1188658564833984</v>
      </c>
      <c r="P74" s="6">
        <f>[1]anual!$L73</f>
        <v>7.1918037733339704</v>
      </c>
      <c r="Q74" s="6">
        <f t="shared" si="11"/>
        <v>7.1918037733339704</v>
      </c>
      <c r="S74" s="6">
        <f>[1]anual!$N73</f>
        <v>-2.9481807061863501</v>
      </c>
    </row>
    <row r="75" spans="1:19" x14ac:dyDescent="0.35">
      <c r="A75">
        <v>1973</v>
      </c>
      <c r="B75" s="7">
        <f>[1]anual!$B74</f>
        <v>134401</v>
      </c>
      <c r="C75" s="7">
        <f>[1]anual!$C74</f>
        <v>95745</v>
      </c>
      <c r="D75" s="7">
        <f>[1]anual!$G74</f>
        <v>16619.966452074401</v>
      </c>
      <c r="E75" s="5">
        <f t="shared" si="2"/>
        <v>11.808583147519697</v>
      </c>
      <c r="F75" s="5">
        <f t="shared" si="3"/>
        <v>11.469443686358268</v>
      </c>
      <c r="G75" s="5">
        <f t="shared" si="4"/>
        <v>9.7183600498799887</v>
      </c>
      <c r="H75" s="6">
        <f t="shared" si="8"/>
        <v>6.2769347556202177</v>
      </c>
      <c r="I75" s="6">
        <f t="shared" si="9"/>
        <v>7.4880718495649745</v>
      </c>
      <c r="J75" s="6">
        <f t="shared" si="10"/>
        <v>44.621673808526168</v>
      </c>
      <c r="K75" s="6">
        <f>100*[1]anual!$M74/[1]anual!$M73-100</f>
        <v>24.409070334327339</v>
      </c>
      <c r="L75" s="6">
        <f t="shared" si="6"/>
        <v>71.23830923877054</v>
      </c>
      <c r="M75" s="6">
        <f t="shared" si="7"/>
        <v>12.36595445872754</v>
      </c>
      <c r="N75" s="6">
        <f>100*([1]anual!$D74+[1]anual!$H74)/B75</f>
        <v>17.656979414443981</v>
      </c>
      <c r="O75" s="6">
        <f>100*([1]anual!$J74-[1]anual!$K74)/B75</f>
        <v>-1.251826582756826</v>
      </c>
      <c r="P75" s="6">
        <f>[1]anual!$L74</f>
        <v>9.5134722820955595</v>
      </c>
      <c r="Q75" s="6">
        <f t="shared" si="11"/>
        <v>9.5134722820955595</v>
      </c>
      <c r="S75" s="6">
        <f>[1]anual!$N74</f>
        <v>-4.6343155747427502</v>
      </c>
    </row>
    <row r="76" spans="1:19" x14ac:dyDescent="0.35">
      <c r="A76">
        <v>1974</v>
      </c>
      <c r="B76" s="7">
        <f>[1]anual!$B75</f>
        <v>147017</v>
      </c>
      <c r="C76" s="7">
        <f>[1]anual!$C75</f>
        <v>104616</v>
      </c>
      <c r="D76" s="7">
        <f>[1]anual!$G75</f>
        <v>19321.420272382398</v>
      </c>
      <c r="E76" s="5">
        <f t="shared" si="2"/>
        <v>11.898303505332864</v>
      </c>
      <c r="F76" s="5">
        <f t="shared" si="3"/>
        <v>11.558051782586338</v>
      </c>
      <c r="G76" s="5">
        <f t="shared" si="4"/>
        <v>9.8689696181278279</v>
      </c>
      <c r="H76" s="6">
        <f t="shared" si="8"/>
        <v>9.386834919383034</v>
      </c>
      <c r="I76" s="6">
        <f t="shared" si="9"/>
        <v>9.2652357825473928</v>
      </c>
      <c r="J76" s="6">
        <f t="shared" si="10"/>
        <v>16.25426758891453</v>
      </c>
      <c r="K76" s="6">
        <f>100*[1]anual!$M75/[1]anual!$M74-100</f>
        <v>10.302175644525164</v>
      </c>
      <c r="L76" s="6">
        <f t="shared" si="6"/>
        <v>71.159117653060534</v>
      </c>
      <c r="M76" s="6">
        <f t="shared" si="7"/>
        <v>13.142303456323008</v>
      </c>
      <c r="N76" s="6">
        <f>100*([1]anual!$D75+[1]anual!$H75)/B76</f>
        <v>19.358785948160282</v>
      </c>
      <c r="O76" s="6">
        <f>100*([1]anual!$J75-[1]anual!$K75)/B76</f>
        <v>-4.428792716108001</v>
      </c>
      <c r="P76" s="6">
        <f>[1]anual!$L75</f>
        <v>16.877104822007102</v>
      </c>
      <c r="Q76" s="6">
        <f t="shared" si="11"/>
        <v>16.877104822007102</v>
      </c>
      <c r="S76" s="6">
        <f>[1]anual!$N75</f>
        <v>-6.9806253322396801</v>
      </c>
    </row>
    <row r="77" spans="1:19" x14ac:dyDescent="0.35">
      <c r="A77">
        <v>1975</v>
      </c>
      <c r="B77" s="7">
        <f>[1]anual!$B76</f>
        <v>153340</v>
      </c>
      <c r="C77" s="7">
        <f>[1]anual!$C76</f>
        <v>108208</v>
      </c>
      <c r="D77" s="7">
        <f>[1]anual!$G76</f>
        <v>19276.900458587599</v>
      </c>
      <c r="E77" s="5">
        <f t="shared" si="2"/>
        <v>11.940412957112885</v>
      </c>
      <c r="F77" s="5">
        <f t="shared" si="3"/>
        <v>11.591810579814721</v>
      </c>
      <c r="G77" s="5">
        <f t="shared" si="4"/>
        <v>9.8666627906444457</v>
      </c>
      <c r="H77" s="6">
        <f t="shared" si="8"/>
        <v>4.3008631654842588</v>
      </c>
      <c r="I77" s="6">
        <f t="shared" si="9"/>
        <v>3.4335092146516786</v>
      </c>
      <c r="J77" s="6">
        <f t="shared" si="10"/>
        <v>-0.23041688016297712</v>
      </c>
      <c r="K77" s="6">
        <f>100*[1]anual!$M76/[1]anual!$M75-100</f>
        <v>-9.531054368550457</v>
      </c>
      <c r="L77" s="6">
        <f t="shared" si="6"/>
        <v>70.567366636233203</v>
      </c>
      <c r="M77" s="6">
        <f t="shared" si="7"/>
        <v>12.571345023208295</v>
      </c>
      <c r="N77" s="6">
        <f>100*([1]anual!$D76+[1]anual!$H76)/B77</f>
        <v>20.670418932801752</v>
      </c>
      <c r="O77" s="6">
        <f>100*([1]anual!$J76-[1]anual!$K76)/B77</f>
        <v>-3.4204452421029079</v>
      </c>
      <c r="P77" s="6">
        <f>[1]anual!$L76</f>
        <v>23.6336814670778</v>
      </c>
      <c r="Q77" s="6">
        <f t="shared" si="11"/>
        <v>23.6336814670778</v>
      </c>
      <c r="S77" s="6">
        <f>[1]anual!$N76</f>
        <v>-9.7913030353969503</v>
      </c>
    </row>
    <row r="78" spans="1:19" x14ac:dyDescent="0.35">
      <c r="A78">
        <v>1976</v>
      </c>
      <c r="B78" s="7">
        <f>[1]anual!$B77</f>
        <v>155559</v>
      </c>
      <c r="C78" s="7">
        <f>[1]anual!$C77</f>
        <v>109208</v>
      </c>
      <c r="D78" s="7">
        <f>[1]anual!$G77</f>
        <v>15768.062244446901</v>
      </c>
      <c r="E78" s="5">
        <f t="shared" si="2"/>
        <v>11.95478035986126</v>
      </c>
      <c r="F78" s="5">
        <f t="shared" si="3"/>
        <v>11.601009599682813</v>
      </c>
      <c r="G78" s="5">
        <f t="shared" si="4"/>
        <v>9.6657417963416918</v>
      </c>
      <c r="H78" s="6">
        <f t="shared" si="8"/>
        <v>1.4471109951741283</v>
      </c>
      <c r="I78" s="6">
        <f t="shared" si="9"/>
        <v>0.92414608901374606</v>
      </c>
      <c r="J78" s="6">
        <f t="shared" si="10"/>
        <v>-18.202294615146783</v>
      </c>
      <c r="K78" s="6">
        <f>100*[1]anual!$M77/[1]anual!$M76-100</f>
        <v>-8.2626845577537011</v>
      </c>
      <c r="L78" s="6">
        <f t="shared" si="6"/>
        <v>70.203588349115122</v>
      </c>
      <c r="M78" s="6">
        <f t="shared" si="7"/>
        <v>10.136386994289563</v>
      </c>
      <c r="N78" s="6">
        <f>100*([1]anual!$D77+[1]anual!$H77)/B78</f>
        <v>20.58659558703733</v>
      </c>
      <c r="O78" s="6">
        <f>100*([1]anual!$J77-[1]anual!$K77)/B78</f>
        <v>-0.7396650335429662</v>
      </c>
      <c r="P78" s="6">
        <f>[1]anual!$L77</f>
        <v>33.494621479640699</v>
      </c>
      <c r="Q78" s="6">
        <f t="shared" si="11"/>
        <v>33.494621479640699</v>
      </c>
      <c r="S78" s="6">
        <f>[1]anual!$N77</f>
        <v>-10.5384699327128</v>
      </c>
    </row>
    <row r="79" spans="1:19" x14ac:dyDescent="0.35">
      <c r="A79">
        <v>1977</v>
      </c>
      <c r="B79" s="7">
        <f>[1]anual!$B78</f>
        <v>156102</v>
      </c>
      <c r="C79" s="7">
        <f>[1]anual!$C78</f>
        <v>106956</v>
      </c>
      <c r="D79" s="7">
        <f>[1]anual!$G78</f>
        <v>16199.7325698652</v>
      </c>
      <c r="E79" s="5">
        <f t="shared" si="2"/>
        <v>11.958264918721255</v>
      </c>
      <c r="F79" s="5">
        <f t="shared" si="3"/>
        <v>11.580172813918718</v>
      </c>
      <c r="G79" s="5">
        <f t="shared" si="4"/>
        <v>9.6927500130512048</v>
      </c>
      <c r="H79" s="6">
        <f t="shared" si="8"/>
        <v>0.3490636993037981</v>
      </c>
      <c r="I79" s="6">
        <f t="shared" si="9"/>
        <v>-2.0621199912094283</v>
      </c>
      <c r="J79" s="6">
        <f t="shared" si="10"/>
        <v>2.7376244380968444</v>
      </c>
      <c r="K79" s="6">
        <f>100*[1]anual!$M78/[1]anual!$M77-100</f>
        <v>-5.4594473925102562</v>
      </c>
      <c r="L79" s="6">
        <f t="shared" si="6"/>
        <v>68.516739055233117</v>
      </c>
      <c r="M79" s="6">
        <f t="shared" si="7"/>
        <v>10.377658562904511</v>
      </c>
      <c r="N79" s="6">
        <f>100*([1]anual!$D78+[1]anual!$H78)/B79</f>
        <v>20.645973487868471</v>
      </c>
      <c r="O79" s="6">
        <f>100*([1]anual!$J78-[1]anual!$K78)/B79</f>
        <v>1.0499212098402977</v>
      </c>
      <c r="P79" s="6">
        <f>[1]anual!$L78</f>
        <v>38.042016991478697</v>
      </c>
      <c r="Q79" s="6">
        <f t="shared" si="11"/>
        <v>38.042016991478697</v>
      </c>
      <c r="S79" s="6">
        <f>[1]anual!$N78</f>
        <v>-10.166832873760701</v>
      </c>
    </row>
    <row r="80" spans="1:19" x14ac:dyDescent="0.35">
      <c r="A80">
        <v>1978</v>
      </c>
      <c r="B80" s="7">
        <f>[1]anual!$B79</f>
        <v>151977</v>
      </c>
      <c r="C80" s="7">
        <f>[1]anual!$C79</f>
        <v>98306</v>
      </c>
      <c r="D80" s="7">
        <f>[1]anual!$G79</f>
        <v>15332.7713339236</v>
      </c>
      <c r="E80" s="5">
        <f t="shared" si="2"/>
        <v>11.931484472589551</v>
      </c>
      <c r="F80" s="5">
        <f t="shared" si="3"/>
        <v>11.495840341912414</v>
      </c>
      <c r="G80" s="5">
        <f t="shared" si="4"/>
        <v>9.6377477339959992</v>
      </c>
      <c r="H80" s="6">
        <f t="shared" si="8"/>
        <v>-2.6425029788215397</v>
      </c>
      <c r="I80" s="6">
        <f t="shared" si="9"/>
        <v>-8.0874378248999648</v>
      </c>
      <c r="J80" s="6">
        <f t="shared" si="10"/>
        <v>-5.3517009135960905</v>
      </c>
      <c r="K80" s="6">
        <f>100*[1]anual!$M79/[1]anual!$M78-100</f>
        <v>-12.006345263428727</v>
      </c>
      <c r="L80" s="6">
        <f t="shared" si="6"/>
        <v>64.684787829737388</v>
      </c>
      <c r="M80" s="6">
        <f t="shared" si="7"/>
        <v>10.088876168054114</v>
      </c>
      <c r="N80" s="6">
        <f>100*([1]anual!$D79+[1]anual!$H79)/B80</f>
        <v>18.284142862524501</v>
      </c>
      <c r="O80" s="6">
        <f>100*([1]anual!$J79-[1]anual!$K79)/B80</f>
        <v>6.9625537782494735</v>
      </c>
      <c r="P80" s="6">
        <f>[1]anual!$L79</f>
        <v>57.850278671974799</v>
      </c>
      <c r="S80" s="6">
        <f>[1]anual!$N79</f>
        <v>-6.3570435681239896</v>
      </c>
    </row>
    <row r="81" spans="1:19" x14ac:dyDescent="0.35">
      <c r="A81">
        <v>1979</v>
      </c>
      <c r="B81" s="7">
        <f>[1]anual!$B80</f>
        <v>158249.39268461699</v>
      </c>
      <c r="C81" s="7">
        <f>[1]anual!$C80</f>
        <v>96824.853729439303</v>
      </c>
      <c r="D81" s="7">
        <f>[1]anual!$G80</f>
        <v>16313.1799424766</v>
      </c>
      <c r="E81" s="5">
        <f t="shared" si="2"/>
        <v>11.971927502303116</v>
      </c>
      <c r="F81" s="5">
        <f t="shared" si="3"/>
        <v>11.480658993712453</v>
      </c>
      <c r="G81" s="5">
        <f t="shared" si="4"/>
        <v>9.6997286454937832</v>
      </c>
      <c r="H81" s="6">
        <f t="shared" si="8"/>
        <v>4.1271986449377067</v>
      </c>
      <c r="I81" s="6">
        <f t="shared" si="9"/>
        <v>-1.5066692476153065</v>
      </c>
      <c r="J81" s="6">
        <f t="shared" si="10"/>
        <v>6.3942035474295267</v>
      </c>
      <c r="K81" s="6">
        <f>100*[1]anual!$M80/[1]anual!$M79-100</f>
        <v>22.637060448835115</v>
      </c>
      <c r="L81" s="6">
        <f t="shared" si="6"/>
        <v>61.184976502504703</v>
      </c>
      <c r="M81" s="6">
        <f t="shared" si="7"/>
        <v>10.308526096519017</v>
      </c>
      <c r="N81" s="6">
        <f>100*([1]anual!$D80+[1]anual!$H80)/B81</f>
        <v>16.71916189111246</v>
      </c>
      <c r="O81" s="6">
        <f>100*([1]anual!$J80-[1]anual!$K80)/B81</f>
        <v>9.5959643097183562</v>
      </c>
      <c r="P81" s="6">
        <f>[1]anual!$L80</f>
        <v>67.697525627072395</v>
      </c>
      <c r="S81" s="6">
        <f>[1]anual!$N80</f>
        <v>-1.0949856146800101</v>
      </c>
    </row>
    <row r="82" spans="1:19" x14ac:dyDescent="0.35">
      <c r="A82">
        <v>1980</v>
      </c>
      <c r="B82" s="7">
        <f>[1]anual!$B81</f>
        <v>167596</v>
      </c>
      <c r="C82" s="7">
        <f>[1]anual!$C81</f>
        <v>104622</v>
      </c>
      <c r="D82" s="7">
        <f>[1]anual!$G81</f>
        <v>21770.131577270298</v>
      </c>
      <c r="E82" s="5">
        <f t="shared" si="2"/>
        <v>12.029311600396865</v>
      </c>
      <c r="F82" s="5">
        <f t="shared" si="3"/>
        <v>11.558109133545548</v>
      </c>
      <c r="G82" s="5">
        <f t="shared" si="4"/>
        <v>9.9882941981823219</v>
      </c>
      <c r="H82" s="6">
        <f t="shared" si="8"/>
        <v>5.9062516176667543</v>
      </c>
      <c r="I82" s="6">
        <f t="shared" si="9"/>
        <v>8.0528355791256985</v>
      </c>
      <c r="J82" s="6">
        <f t="shared" si="10"/>
        <v>33.451182749383975</v>
      </c>
      <c r="K82" s="6">
        <f>100*[1]anual!$M81/[1]anual!$M80-100</f>
        <v>1.4580157188024572</v>
      </c>
      <c r="L82" s="6">
        <f t="shared" si="6"/>
        <v>62.425117544571471</v>
      </c>
      <c r="M82" s="6">
        <f t="shared" si="7"/>
        <v>12.989648665403886</v>
      </c>
      <c r="N82" s="6">
        <f>100*([1]anual!$D81+[1]anual!$H81)/B82</f>
        <v>20.204841224952919</v>
      </c>
      <c r="O82" s="6">
        <f>100*([1]anual!$J81-[1]anual!$K81)/B82</f>
        <v>2.6834459659550944</v>
      </c>
      <c r="P82" s="6">
        <f>[1]anual!$L81</f>
        <v>59.160564624096402</v>
      </c>
      <c r="S82" s="6">
        <f>[1]anual!$N81</f>
        <v>-4.6413614556337501</v>
      </c>
    </row>
    <row r="83" spans="1:19" x14ac:dyDescent="0.35">
      <c r="A83">
        <v>1981</v>
      </c>
      <c r="B83" s="7">
        <f>[1]anual!$B82</f>
        <v>176901</v>
      </c>
      <c r="C83" s="7">
        <f>[1]anual!$C82</f>
        <v>112440</v>
      </c>
      <c r="D83" s="7">
        <f>[1]anual!$G82</f>
        <v>25700.058048455299</v>
      </c>
      <c r="E83" s="5">
        <f t="shared" si="2"/>
        <v>12.083345533043149</v>
      </c>
      <c r="F83" s="5">
        <f t="shared" si="3"/>
        <v>11.630175025020469</v>
      </c>
      <c r="G83" s="5">
        <f t="shared" si="4"/>
        <v>10.154248529575518</v>
      </c>
      <c r="H83" s="6">
        <f t="shared" si="8"/>
        <v>5.5520418148404502</v>
      </c>
      <c r="I83" s="6">
        <f t="shared" si="9"/>
        <v>7.4726157022423649</v>
      </c>
      <c r="J83" s="6">
        <f t="shared" si="10"/>
        <v>18.051918782558715</v>
      </c>
      <c r="K83" s="6">
        <f>100*[1]anual!$M82/[1]anual!$M81-100</f>
        <v>-11.36582670538202</v>
      </c>
      <c r="L83" s="6">
        <f t="shared" si="6"/>
        <v>63.560974782505468</v>
      </c>
      <c r="M83" s="6">
        <f t="shared" si="7"/>
        <v>14.527932599846977</v>
      </c>
      <c r="N83" s="6">
        <f>100*([1]anual!$D82+[1]anual!$H82)/B83</f>
        <v>20.226768308635961</v>
      </c>
      <c r="O83" s="6">
        <f>100*([1]anual!$J82-[1]anual!$K82)/B83</f>
        <v>-0.52401036265917</v>
      </c>
      <c r="P83" s="6">
        <f>[1]anual!$L82</f>
        <v>75.417682049487993</v>
      </c>
      <c r="S83" s="6">
        <f>[1]anual!$N82</f>
        <v>-8.0496307939807501</v>
      </c>
    </row>
    <row r="84" spans="1:19" x14ac:dyDescent="0.35">
      <c r="A84">
        <v>1982</v>
      </c>
      <c r="B84" s="7">
        <f>[1]anual!$B83</f>
        <v>176507</v>
      </c>
      <c r="C84" s="7">
        <f>[1]anual!$C83</f>
        <v>109726</v>
      </c>
      <c r="D84" s="7">
        <f>[1]anual!$G83</f>
        <v>23834.864735232401</v>
      </c>
      <c r="E84" s="5">
        <f t="shared" si="2"/>
        <v>12.081115814625706</v>
      </c>
      <c r="F84" s="5">
        <f t="shared" si="3"/>
        <v>11.605741628208229</v>
      </c>
      <c r="G84" s="5">
        <f t="shared" si="4"/>
        <v>10.078904692574884</v>
      </c>
      <c r="H84" s="6">
        <f t="shared" si="8"/>
        <v>-0.22272344418630041</v>
      </c>
      <c r="I84" s="6">
        <f t="shared" si="9"/>
        <v>-2.4137317680540775</v>
      </c>
      <c r="J84" s="6">
        <f t="shared" si="10"/>
        <v>-7.2575451374710269</v>
      </c>
      <c r="K84" s="6">
        <f>100*[1]anual!$M83/[1]anual!$M82-100</f>
        <v>-5.7249130317859738</v>
      </c>
      <c r="L84" s="6">
        <f t="shared" si="6"/>
        <v>62.165239905499497</v>
      </c>
      <c r="M84" s="6">
        <f t="shared" si="7"/>
        <v>13.503637099510161</v>
      </c>
      <c r="N84" s="6">
        <f>100*([1]anual!$D83+[1]anual!$H83)/B84</f>
        <v>21.771941047683999</v>
      </c>
      <c r="O84" s="6">
        <f>100*([1]anual!$J83-[1]anual!$K83)/B84</f>
        <v>1.0665803731367598</v>
      </c>
      <c r="P84" s="6">
        <f>[1]anual!$L83</f>
        <v>64.459661110174295</v>
      </c>
      <c r="S84" s="6">
        <f>[1]anual!$N83</f>
        <v>-8.8886454742081007</v>
      </c>
    </row>
    <row r="85" spans="1:19" x14ac:dyDescent="0.35">
      <c r="A85">
        <v>1983</v>
      </c>
      <c r="B85" s="7">
        <f>[1]anual!$B84</f>
        <v>158136</v>
      </c>
      <c r="C85" s="7">
        <f>[1]anual!$C84</f>
        <v>103589</v>
      </c>
      <c r="D85" s="7">
        <f>[1]anual!$G84</f>
        <v>14650.5597504783</v>
      </c>
      <c r="E85" s="5">
        <f t="shared" si="2"/>
        <v>11.971210701261766</v>
      </c>
      <c r="F85" s="5">
        <f t="shared" si="3"/>
        <v>11.548186425564101</v>
      </c>
      <c r="G85" s="5">
        <f t="shared" si="4"/>
        <v>9.5922338219390717</v>
      </c>
      <c r="H85" s="6">
        <f t="shared" si="8"/>
        <v>-10.408085798296952</v>
      </c>
      <c r="I85" s="6">
        <f t="shared" si="9"/>
        <v>-5.5930226199806725</v>
      </c>
      <c r="J85" s="6">
        <f t="shared" si="10"/>
        <v>-38.533069462642992</v>
      </c>
      <c r="K85" s="6">
        <f>100*[1]anual!$M84/[1]anual!$M83-100</f>
        <v>5.7532350401177439</v>
      </c>
      <c r="L85" s="6">
        <f t="shared" si="6"/>
        <v>65.506273081398291</v>
      </c>
      <c r="M85" s="6">
        <f t="shared" si="7"/>
        <v>9.2645316376272948</v>
      </c>
      <c r="N85" s="6">
        <f>100*([1]anual!$D84+[1]anual!$H84)/B85</f>
        <v>22.018729285715775</v>
      </c>
      <c r="O85" s="6">
        <f>100*([1]anual!$J84-[1]anual!$K84)/B85</f>
        <v>3.3601550002273348</v>
      </c>
      <c r="P85" s="6">
        <f>[1]anual!$L84</f>
        <v>111.14928139545999</v>
      </c>
      <c r="S85" s="6">
        <f>[1]anual!$N84</f>
        <v>-11.628644238228301</v>
      </c>
    </row>
    <row r="86" spans="1:19" x14ac:dyDescent="0.35">
      <c r="A86">
        <v>1984</v>
      </c>
      <c r="B86" s="7">
        <f>[1]anual!$B85</f>
        <v>163842</v>
      </c>
      <c r="C86" s="7">
        <f>[1]anual!$C85</f>
        <v>106445</v>
      </c>
      <c r="D86" s="7">
        <f>[1]anual!$G85</f>
        <v>13639.133812538799</v>
      </c>
      <c r="E86" s="5">
        <f t="shared" si="2"/>
        <v>12.006657827790026</v>
      </c>
      <c r="F86" s="5">
        <f t="shared" si="3"/>
        <v>11.575383698809839</v>
      </c>
      <c r="G86" s="5">
        <f t="shared" si="4"/>
        <v>9.5206984259014611</v>
      </c>
      <c r="H86" s="6">
        <f t="shared" si="8"/>
        <v>3.6082865381696791</v>
      </c>
      <c r="I86" s="6">
        <f t="shared" si="9"/>
        <v>2.7570494936721133</v>
      </c>
      <c r="J86" s="6">
        <f t="shared" si="10"/>
        <v>-6.9036675401189314</v>
      </c>
      <c r="K86" s="6">
        <f>100*[1]anual!$M85/[1]anual!$M84-100</f>
        <v>-4.6382935994793257</v>
      </c>
      <c r="L86" s="6">
        <f t="shared" si="6"/>
        <v>64.968079002941863</v>
      </c>
      <c r="M86" s="6">
        <f t="shared" si="7"/>
        <v>8.3245650154043531</v>
      </c>
      <c r="N86" s="6">
        <f>100*([1]anual!$D85+[1]anual!$H85)/B86</f>
        <v>20.345871780790702</v>
      </c>
      <c r="O86" s="6">
        <f>100*([1]anual!$J85-[1]anual!$K85)/B86</f>
        <v>6.7294127017807401</v>
      </c>
      <c r="P86" s="6">
        <f>[1]anual!$L85</f>
        <v>110.209023300716</v>
      </c>
      <c r="S86" s="6">
        <f>[1]anual!$N85</f>
        <v>-7.8672387362142198</v>
      </c>
    </row>
    <row r="87" spans="1:19" x14ac:dyDescent="0.35">
      <c r="A87">
        <v>1985</v>
      </c>
      <c r="B87" s="7">
        <f>[1]anual!$B86</f>
        <v>167219</v>
      </c>
      <c r="C87" s="7">
        <f>[1]anual!$C86</f>
        <v>108307</v>
      </c>
      <c r="D87" s="7">
        <f>[1]anual!$G86</f>
        <v>12079.386562682599</v>
      </c>
      <c r="E87" s="5">
        <f t="shared" si="2"/>
        <v>12.027059609540252</v>
      </c>
      <c r="F87" s="5">
        <f t="shared" si="3"/>
        <v>11.592725066172704</v>
      </c>
      <c r="G87" s="5">
        <f t="shared" si="4"/>
        <v>9.3992556889645105</v>
      </c>
      <c r="H87" s="6">
        <f t="shared" si="8"/>
        <v>2.0611320662589634</v>
      </c>
      <c r="I87" s="6">
        <f t="shared" si="9"/>
        <v>1.7492601813142983</v>
      </c>
      <c r="J87" s="6">
        <f t="shared" si="10"/>
        <v>-11.435823354282846</v>
      </c>
      <c r="K87" s="6">
        <f>100*[1]anual!$M86/[1]anual!$M85-100</f>
        <v>-5.3743736261789223</v>
      </c>
      <c r="L87" s="6">
        <f t="shared" si="6"/>
        <v>64.769553699041381</v>
      </c>
      <c r="M87" s="6">
        <f t="shared" si="7"/>
        <v>7.2236926202659983</v>
      </c>
      <c r="N87" s="6">
        <f>100*([1]anual!$D86+[1]anual!$H86)/B87</f>
        <v>19.249808395796062</v>
      </c>
      <c r="O87" s="6">
        <f>100*([1]anual!$J86-[1]anual!$K86)/B87</f>
        <v>8.8738768872590423</v>
      </c>
      <c r="P87" s="6">
        <f>[1]anual!$L86</f>
        <v>163.39806898348601</v>
      </c>
      <c r="S87" s="6">
        <f>[1]anual!$N86</f>
        <v>-3.6964130295808699</v>
      </c>
    </row>
    <row r="88" spans="1:19" x14ac:dyDescent="0.35">
      <c r="A88">
        <v>1986</v>
      </c>
      <c r="B88" s="7">
        <f>[1]anual!$B87</f>
        <v>182981</v>
      </c>
      <c r="C88" s="7">
        <f>[1]anual!$C87</f>
        <v>124563</v>
      </c>
      <c r="D88" s="7">
        <f>[1]anual!$G87</f>
        <v>16802.118982266002</v>
      </c>
      <c r="E88" s="5">
        <f t="shared" si="2"/>
        <v>12.117137601296744</v>
      </c>
      <c r="F88" s="5">
        <f t="shared" si="3"/>
        <v>11.732566890996265</v>
      </c>
      <c r="G88" s="5">
        <f t="shared" si="4"/>
        <v>9.72926028733443</v>
      </c>
      <c r="H88" s="6">
        <f t="shared" si="8"/>
        <v>9.4259623607365199</v>
      </c>
      <c r="I88" s="6">
        <f t="shared" si="9"/>
        <v>15.009186848495474</v>
      </c>
      <c r="J88" s="6">
        <f t="shared" si="10"/>
        <v>39.097452466448544</v>
      </c>
      <c r="K88" s="6">
        <f>100*[1]anual!$M87/[1]anual!$M86-100</f>
        <v>-12.79088493501753</v>
      </c>
      <c r="L88" s="6">
        <f t="shared" si="6"/>
        <v>68.074280936272075</v>
      </c>
      <c r="M88" s="6">
        <f t="shared" si="7"/>
        <v>9.182439150658265</v>
      </c>
      <c r="N88" s="6">
        <f>100*([1]anual!$D87+[1]anual!$H87)/B88</f>
        <v>18.375474287063351</v>
      </c>
      <c r="O88" s="6">
        <f>100*([1]anual!$J87-[1]anual!$K87)/B88</f>
        <v>3.7538473284039324</v>
      </c>
      <c r="P88" s="6">
        <f>[1]anual!$L87</f>
        <v>77.921333073599698</v>
      </c>
      <c r="S88" s="6">
        <f>[1]anual!$N87</f>
        <v>-7.7759323851715898</v>
      </c>
    </row>
    <row r="89" spans="1:19" x14ac:dyDescent="0.35">
      <c r="A89">
        <v>1987</v>
      </c>
      <c r="B89" s="7">
        <f>[1]anual!$B88</f>
        <v>200778</v>
      </c>
      <c r="C89" s="7">
        <f>[1]anual!$C88</f>
        <v>138641</v>
      </c>
      <c r="D89" s="7">
        <f>[1]anual!$G88</f>
        <v>21260.457573072599</v>
      </c>
      <c r="E89" s="5">
        <f t="shared" si="2"/>
        <v>12.209955099044397</v>
      </c>
      <c r="F89" s="5">
        <f t="shared" si="3"/>
        <v>11.839643137289038</v>
      </c>
      <c r="G89" s="5">
        <f t="shared" si="4"/>
        <v>9.964604174386464</v>
      </c>
      <c r="H89" s="6">
        <f t="shared" si="8"/>
        <v>9.726146430503718</v>
      </c>
      <c r="I89" s="6">
        <f t="shared" si="9"/>
        <v>11.301911482542977</v>
      </c>
      <c r="J89" s="6">
        <f t="shared" si="10"/>
        <v>26.53438292820212</v>
      </c>
      <c r="K89" s="6">
        <f>100*[1]anual!$M88/[1]anual!$M87-100</f>
        <v>-0.16938962883801878</v>
      </c>
      <c r="L89" s="6">
        <f t="shared" si="6"/>
        <v>69.051888155076753</v>
      </c>
      <c r="M89" s="6">
        <f t="shared" si="7"/>
        <v>10.589037430929981</v>
      </c>
      <c r="N89" s="6">
        <f>100*([1]anual!$D88+[1]anual!$H88)/B89</f>
        <v>17.257802864219229</v>
      </c>
      <c r="O89" s="6">
        <f>100*([1]anual!$J88-[1]anual!$K88)/B89</f>
        <v>1.704460505539652</v>
      </c>
      <c r="P89" s="6">
        <f>[1]anual!$L88</f>
        <v>85.846328999726097</v>
      </c>
      <c r="S89" s="6">
        <f>[1]anual!$N88</f>
        <v>-10.149342244443201</v>
      </c>
    </row>
    <row r="90" spans="1:19" x14ac:dyDescent="0.35">
      <c r="A90">
        <v>1988</v>
      </c>
      <c r="B90" s="7">
        <f>[1]anual!$B89</f>
        <v>181822</v>
      </c>
      <c r="C90" s="7">
        <f>[1]anual!$C89</f>
        <v>127082</v>
      </c>
      <c r="D90" s="7">
        <f>[1]anual!$G89</f>
        <v>19321.401560021601</v>
      </c>
      <c r="E90" s="5">
        <f t="shared" si="2"/>
        <v>12.110783465505351</v>
      </c>
      <c r="F90" s="5">
        <f t="shared" si="3"/>
        <v>11.752587826377331</v>
      </c>
      <c r="G90" s="5">
        <f t="shared" si="4"/>
        <v>9.8689686496498581</v>
      </c>
      <c r="H90" s="6">
        <f t="shared" si="8"/>
        <v>-9.4412734462939198</v>
      </c>
      <c r="I90" s="6">
        <f t="shared" si="9"/>
        <v>-8.3373605210579882</v>
      </c>
      <c r="J90" s="6">
        <f t="shared" si="10"/>
        <v>-9.1204810921233701</v>
      </c>
      <c r="K90" s="6">
        <f>100*[1]anual!$M89/[1]anual!$M88-100</f>
        <v>4.3245368847256174</v>
      </c>
      <c r="L90" s="6">
        <f t="shared" si="6"/>
        <v>69.893632233723096</v>
      </c>
      <c r="M90" s="6">
        <f t="shared" si="7"/>
        <v>10.626547700510169</v>
      </c>
      <c r="N90" s="6">
        <f>100*([1]anual!$D89+[1]anual!$H89)/B90</f>
        <v>15.329498445864317</v>
      </c>
      <c r="O90" s="6">
        <f>100*([1]anual!$J89-[1]anual!$K89)/B90</f>
        <v>2.1899064559808497</v>
      </c>
      <c r="P90" s="6">
        <f>[1]anual!$L89</f>
        <v>666.95535725769105</v>
      </c>
      <c r="S90" s="6">
        <f>[1]anual!$N89</f>
        <v>-11.5487253543713</v>
      </c>
    </row>
    <row r="91" spans="1:19" x14ac:dyDescent="0.35">
      <c r="A91">
        <v>1989</v>
      </c>
      <c r="B91" s="7">
        <f>[1]anual!$B90</f>
        <v>159436</v>
      </c>
      <c r="C91" s="7">
        <f>[1]anual!$C90</f>
        <v>106319</v>
      </c>
      <c r="D91" s="7">
        <f>[1]anual!$G90</f>
        <v>15242.3031464015</v>
      </c>
      <c r="E91" s="5">
        <f t="shared" si="2"/>
        <v>11.979397866764646</v>
      </c>
      <c r="F91" s="5">
        <f t="shared" si="3"/>
        <v>11.574199287774798</v>
      </c>
      <c r="G91" s="5">
        <f t="shared" si="4"/>
        <v>9.6318299429143526</v>
      </c>
      <c r="H91" s="6">
        <f t="shared" si="8"/>
        <v>-12.312041447129616</v>
      </c>
      <c r="I91" s="6">
        <f t="shared" si="9"/>
        <v>-16.338269778568176</v>
      </c>
      <c r="J91" s="6">
        <f t="shared" si="10"/>
        <v>-21.111814279872263</v>
      </c>
      <c r="K91" s="6">
        <f>100*[1]anual!$M90/[1]anual!$M89-100</f>
        <v>-6.5167168749617161</v>
      </c>
      <c r="L91" s="6">
        <f t="shared" si="6"/>
        <v>66.684437642690483</v>
      </c>
      <c r="M91" s="6">
        <f t="shared" si="7"/>
        <v>9.5601389563219712</v>
      </c>
      <c r="N91" s="6">
        <f>100*([1]anual!$D90+[1]anual!$H90)/B91</f>
        <v>15.345800610826462</v>
      </c>
      <c r="O91" s="6">
        <f>100*([1]anual!$J90-[1]anual!$K90)/B91</f>
        <v>7.7009767045403805</v>
      </c>
      <c r="P91" s="6">
        <f>[1]anual!$L90</f>
        <v>3398.2717762109601</v>
      </c>
      <c r="S91" s="6">
        <f>[1]anual!$N90</f>
        <v>-11.298822678730801</v>
      </c>
    </row>
    <row r="92" spans="1:19" x14ac:dyDescent="0.35">
      <c r="A92">
        <v>1990</v>
      </c>
      <c r="B92" s="7">
        <f>[1]anual!$B91</f>
        <v>151492</v>
      </c>
      <c r="C92" s="7">
        <f>[1]anual!$C91</f>
        <v>105735</v>
      </c>
      <c r="D92" s="7">
        <f>[1]anual!$G91</f>
        <v>17158.888840233201</v>
      </c>
      <c r="E92" s="5">
        <f t="shared" si="2"/>
        <v>11.928288097256784</v>
      </c>
      <c r="F92" s="5">
        <f t="shared" si="3"/>
        <v>11.568691242876085</v>
      </c>
      <c r="G92" s="5">
        <f t="shared" si="4"/>
        <v>9.7502716180452307</v>
      </c>
      <c r="H92" s="6">
        <f t="shared" si="8"/>
        <v>-4.9825635364660457</v>
      </c>
      <c r="I92" s="6">
        <f t="shared" si="9"/>
        <v>-0.54929034321240522</v>
      </c>
      <c r="J92" s="6">
        <f t="shared" si="10"/>
        <v>12.574121347823876</v>
      </c>
      <c r="K92" s="6">
        <f>100*[1]anual!$M91/[1]anual!$M90-100</f>
        <v>-8.3780469346039581</v>
      </c>
      <c r="L92" s="6">
        <f t="shared" si="6"/>
        <v>69.795764792860354</v>
      </c>
      <c r="M92" s="6">
        <f t="shared" si="7"/>
        <v>11.326597338627256</v>
      </c>
      <c r="N92" s="6">
        <f>100*([1]anual!$D91+[1]anual!$H91)/B92</f>
        <v>13.804620392776014</v>
      </c>
      <c r="O92" s="6">
        <f>100*([1]anual!$J91-[1]anual!$K91)/B92</f>
        <v>4.4863108660820368</v>
      </c>
      <c r="P92" s="6">
        <f>[1]anual!$L91</f>
        <v>7481.6910566278002</v>
      </c>
      <c r="S92" s="6">
        <f>[1]anual!$N91</f>
        <v>-8.9315470525193401</v>
      </c>
    </row>
    <row r="93" spans="1:19" x14ac:dyDescent="0.35">
      <c r="A93">
        <v>1991</v>
      </c>
      <c r="B93" s="7">
        <f>[1]anual!$B92</f>
        <v>154854</v>
      </c>
      <c r="C93" s="7">
        <f>[1]anual!$C92</f>
        <v>109665</v>
      </c>
      <c r="D93" s="7">
        <f>[1]anual!$G92</f>
        <v>17154.398519361501</v>
      </c>
      <c r="E93" s="5">
        <f t="shared" si="2"/>
        <v>11.950238016517513</v>
      </c>
      <c r="F93" s="5">
        <f t="shared" si="3"/>
        <v>11.605185543395526</v>
      </c>
      <c r="G93" s="5">
        <f t="shared" si="4"/>
        <v>9.7500098931425558</v>
      </c>
      <c r="H93" s="6">
        <f t="shared" si="8"/>
        <v>2.2192591027909003</v>
      </c>
      <c r="I93" s="6">
        <f t="shared" si="9"/>
        <v>3.7168392679812712</v>
      </c>
      <c r="J93" s="6">
        <f t="shared" si="10"/>
        <v>-2.6169065570087469E-2</v>
      </c>
      <c r="K93" s="6">
        <f>100*[1]anual!$M92/[1]anual!$M91-100</f>
        <v>-4.5383807542227146</v>
      </c>
      <c r="L93" s="6">
        <f t="shared" si="6"/>
        <v>70.818319190979892</v>
      </c>
      <c r="M93" s="6">
        <f t="shared" si="7"/>
        <v>11.077788445478646</v>
      </c>
      <c r="N93" s="6">
        <f>100*([1]anual!$D92+[1]anual!$H92)/B93</f>
        <v>13.974838881361801</v>
      </c>
      <c r="O93" s="6">
        <f>100*([1]anual!$J92-[1]anual!$K92)/B93</f>
        <v>3.2795718045037257</v>
      </c>
      <c r="P93" s="6">
        <f>[1]anual!$L92</f>
        <v>409.52795302911699</v>
      </c>
      <c r="S93" s="6">
        <f>[1]anual!$N92</f>
        <v>-2.9213871310978701</v>
      </c>
    </row>
    <row r="94" spans="1:19" x14ac:dyDescent="0.35">
      <c r="A94">
        <v>1992</v>
      </c>
      <c r="B94" s="7">
        <f>[1]anual!$B93</f>
        <v>154017</v>
      </c>
      <c r="C94" s="7">
        <f>[1]anual!$C93</f>
        <v>108852</v>
      </c>
      <c r="D94" s="7">
        <f>[1]anual!$G93</f>
        <v>16450.267459983999</v>
      </c>
      <c r="E94" s="5">
        <f t="shared" si="2"/>
        <v>11.944818264913671</v>
      </c>
      <c r="F94" s="5">
        <f t="shared" si="3"/>
        <v>11.597744440402945</v>
      </c>
      <c r="G94" s="5">
        <f t="shared" si="4"/>
        <v>9.7080970150269348</v>
      </c>
      <c r="H94" s="6">
        <f t="shared" si="8"/>
        <v>-0.54050912472393975</v>
      </c>
      <c r="I94" s="6">
        <f t="shared" si="9"/>
        <v>-0.74134865271508943</v>
      </c>
      <c r="J94" s="6">
        <f t="shared" si="10"/>
        <v>-4.1046677246233685</v>
      </c>
      <c r="K94" s="6">
        <f>100*[1]anual!$M93/[1]anual!$M92-100</f>
        <v>-2.5592294065716032</v>
      </c>
      <c r="L94" s="6">
        <f t="shared" si="6"/>
        <v>70.675315062622957</v>
      </c>
      <c r="M94" s="6">
        <f t="shared" si="7"/>
        <v>10.680812806368129</v>
      </c>
      <c r="N94" s="6">
        <f>100*([1]anual!$D93+[1]anual!$H93)/B94</f>
        <v>15.019542245375543</v>
      </c>
      <c r="O94" s="6">
        <f>100*([1]anual!$J93-[1]anual!$K93)/B94</f>
        <v>2.7765769924904391</v>
      </c>
      <c r="P94" s="6">
        <f>[1]anual!$L93</f>
        <v>73.528624690568194</v>
      </c>
      <c r="S94" s="6">
        <f>[1]anual!$N93</f>
        <v>-3.9885651152997301</v>
      </c>
    </row>
    <row r="95" spans="1:19" x14ac:dyDescent="0.35">
      <c r="A95">
        <v>1993</v>
      </c>
      <c r="B95" s="7">
        <f>[1]anual!$B94</f>
        <v>162093</v>
      </c>
      <c r="C95" s="7">
        <f>[1]anual!$C94</f>
        <v>113680</v>
      </c>
      <c r="D95" s="7">
        <f>[1]anual!$G94</f>
        <v>18028.443502818802</v>
      </c>
      <c r="E95" s="5">
        <f t="shared" si="2"/>
        <v>11.995925523571112</v>
      </c>
      <c r="F95" s="5">
        <f t="shared" si="3"/>
        <v>11.641142762770983</v>
      </c>
      <c r="G95" s="5">
        <f t="shared" si="4"/>
        <v>9.7997059842855574</v>
      </c>
      <c r="H95" s="6">
        <f t="shared" si="8"/>
        <v>5.2435770077329096</v>
      </c>
      <c r="I95" s="6">
        <f t="shared" si="9"/>
        <v>4.4353801491934064</v>
      </c>
      <c r="J95" s="6">
        <f t="shared" si="10"/>
        <v>9.5936193540547947</v>
      </c>
      <c r="K95" s="6">
        <f>100*[1]anual!$M94/[1]anual!$M93-100</f>
        <v>-10.192499762316473</v>
      </c>
      <c r="L95" s="6">
        <f t="shared" si="6"/>
        <v>70.132578211273781</v>
      </c>
      <c r="M95" s="6">
        <f t="shared" si="7"/>
        <v>11.122283814118317</v>
      </c>
      <c r="N95" s="6">
        <f>100*([1]anual!$D94+[1]anual!$H94)/B95</f>
        <v>15.223093778543822</v>
      </c>
      <c r="O95" s="6">
        <f>100*([1]anual!$J94-[1]anual!$K94)/B95</f>
        <v>2.633778614909835</v>
      </c>
      <c r="P95" s="6">
        <f>[1]anual!$L94</f>
        <v>48.579808599863199</v>
      </c>
      <c r="R95" s="6">
        <f>P95</f>
        <v>48.579808599863199</v>
      </c>
      <c r="S95" s="6">
        <f>[1]anual!$N94</f>
        <v>-3.1338685380548301</v>
      </c>
    </row>
    <row r="96" spans="1:19" x14ac:dyDescent="0.35">
      <c r="A96">
        <v>1994</v>
      </c>
      <c r="B96" s="7">
        <f>[1]anual!$B95</f>
        <v>182043.67132020701</v>
      </c>
      <c r="C96" s="7">
        <f>[1]anual!$C95</f>
        <v>124433</v>
      </c>
      <c r="D96" s="7">
        <f>[1]anual!$G95</f>
        <v>25088</v>
      </c>
      <c r="E96" s="5">
        <f t="shared" si="2"/>
        <v>12.11200188958381</v>
      </c>
      <c r="F96" s="5">
        <f t="shared" si="3"/>
        <v>11.731522697420369</v>
      </c>
      <c r="G96" s="5">
        <f t="shared" si="4"/>
        <v>10.130144923150134</v>
      </c>
      <c r="H96" s="6">
        <f t="shared" si="8"/>
        <v>12.308163412489748</v>
      </c>
      <c r="I96" s="6">
        <f t="shared" si="9"/>
        <v>9.4590077410274489</v>
      </c>
      <c r="J96" s="6">
        <f t="shared" si="10"/>
        <v>39.157881245141397</v>
      </c>
      <c r="K96" s="6">
        <f>100*[1]anual!$M95/[1]anual!$M94-100</f>
        <v>1.3070290970298259</v>
      </c>
      <c r="L96" s="6">
        <f t="shared" si="6"/>
        <v>68.353378668752342</v>
      </c>
      <c r="M96" s="6">
        <f t="shared" si="7"/>
        <v>13.78130852781544</v>
      </c>
      <c r="N96" s="6">
        <f>100*([1]anual!$D95+[1]anual!$H95)/B96</f>
        <v>15.573410684724353</v>
      </c>
      <c r="O96" s="6">
        <f>100*([1]anual!$J95-[1]anual!$K95)/B96</f>
        <v>3.1350519317651226</v>
      </c>
      <c r="P96" s="6">
        <f>[1]anual!$L95</f>
        <v>23.7345297387002</v>
      </c>
      <c r="R96" s="6">
        <f t="shared" ref="R96:R127" si="12">P96</f>
        <v>23.7345297387002</v>
      </c>
      <c r="S96" s="6">
        <f>[1]anual!$N95</f>
        <v>-2.91235174308158</v>
      </c>
    </row>
    <row r="97" spans="1:19" x14ac:dyDescent="0.35">
      <c r="A97">
        <v>1995</v>
      </c>
      <c r="B97" s="7">
        <f>[1]anual!$B96</f>
        <v>195535.99143694001</v>
      </c>
      <c r="C97" s="7">
        <f>[1]anual!$C96</f>
        <v>136275</v>
      </c>
      <c r="D97" s="7">
        <f>[1]anual!$G96</f>
        <v>31946</v>
      </c>
      <c r="E97" s="5">
        <f t="shared" si="2"/>
        <v>12.183499740885027</v>
      </c>
      <c r="F97" s="5">
        <f t="shared" si="3"/>
        <v>11.822430181932482</v>
      </c>
      <c r="G97" s="5">
        <f t="shared" si="4"/>
        <v>10.371802256349902</v>
      </c>
      <c r="H97" s="6">
        <f t="shared" si="8"/>
        <v>7.4115842747428502</v>
      </c>
      <c r="I97" s="6">
        <f t="shared" si="9"/>
        <v>9.5167680599197979</v>
      </c>
      <c r="J97" s="6">
        <f t="shared" si="10"/>
        <v>27.335778061224488</v>
      </c>
      <c r="K97" s="6">
        <f>100*[1]anual!$M96/[1]anual!$M95-100</f>
        <v>7.3430046893127496</v>
      </c>
      <c r="L97" s="6">
        <f t="shared" si="6"/>
        <v>69.69305190239028</v>
      </c>
      <c r="M97" s="6">
        <f t="shared" si="7"/>
        <v>16.337657208393026</v>
      </c>
      <c r="N97" s="6">
        <f>100*([1]anual!$D96+[1]anual!$H96)/B97</f>
        <v>15.264603369335687</v>
      </c>
      <c r="O97" s="6">
        <f>100*([1]anual!$J96-[1]anual!$K96)/B97</f>
        <v>-0.33348008390229972</v>
      </c>
      <c r="P97" s="6">
        <f>[1]anual!$L96</f>
        <v>11.1305038491736</v>
      </c>
      <c r="R97" s="6">
        <f t="shared" si="12"/>
        <v>11.1305038491736</v>
      </c>
      <c r="S97" s="6">
        <f>[1]anual!$N96</f>
        <v>-3.3684494040105002</v>
      </c>
    </row>
    <row r="98" spans="1:19" x14ac:dyDescent="0.35">
      <c r="A98">
        <v>1996</v>
      </c>
      <c r="B98" s="7">
        <f>[1]anual!$B97</f>
        <v>201009.28972401601</v>
      </c>
      <c r="C98" s="7">
        <f>[1]anual!$C97</f>
        <v>139501</v>
      </c>
      <c r="D98" s="7">
        <f>[1]anual!$G97</f>
        <v>31247</v>
      </c>
      <c r="E98" s="5">
        <f t="shared" si="2"/>
        <v>12.211106403505633</v>
      </c>
      <c r="F98" s="5">
        <f t="shared" si="3"/>
        <v>11.845827048676645</v>
      </c>
      <c r="G98" s="5">
        <f t="shared" si="4"/>
        <v>10.349678650556253</v>
      </c>
      <c r="H98" s="6">
        <f t="shared" si="8"/>
        <v>2.7991257501262226</v>
      </c>
      <c r="I98" s="6">
        <f t="shared" si="9"/>
        <v>2.3672720601724393</v>
      </c>
      <c r="J98" s="6">
        <f t="shared" si="10"/>
        <v>-2.1880673636761969</v>
      </c>
      <c r="K98" s="6">
        <f>100*[1]anual!$M97/[1]anual!$M96-100</f>
        <v>-2.8886692835954051</v>
      </c>
      <c r="L98" s="6">
        <f t="shared" si="6"/>
        <v>69.400275077601464</v>
      </c>
      <c r="M98" s="6">
        <f t="shared" si="7"/>
        <v>15.545052690301954</v>
      </c>
      <c r="N98" s="6">
        <f>100*([1]anual!$D97+[1]anual!$H97)/B98</f>
        <v>15.16876578141507</v>
      </c>
      <c r="O98" s="6">
        <f>100*([1]anual!$J97-[1]anual!$K97)/B98</f>
        <v>1.2251874446113507</v>
      </c>
      <c r="P98" s="6">
        <f>[1]anual!$L97</f>
        <v>11.549051488418201</v>
      </c>
      <c r="R98" s="6">
        <f t="shared" si="12"/>
        <v>11.549051488418201</v>
      </c>
      <c r="S98" s="6">
        <f>[1]anual!$N97</f>
        <v>-1.1355521647229601</v>
      </c>
    </row>
    <row r="99" spans="1:19" x14ac:dyDescent="0.35">
      <c r="A99">
        <v>1997</v>
      </c>
      <c r="B99" s="7">
        <f>[1]anual!$B98</f>
        <v>214028.29138905701</v>
      </c>
      <c r="C99" s="7">
        <f>[1]anual!$C98</f>
        <v>144555</v>
      </c>
      <c r="D99" s="7">
        <f>[1]anual!$G98</f>
        <v>36241</v>
      </c>
      <c r="E99" s="5">
        <f t="shared" si="2"/>
        <v>12.273863488018577</v>
      </c>
      <c r="F99" s="5">
        <f t="shared" si="3"/>
        <v>11.881415336953497</v>
      </c>
      <c r="G99" s="5">
        <f t="shared" si="4"/>
        <v>10.497946353595198</v>
      </c>
      <c r="H99" s="6">
        <f t="shared" si="8"/>
        <v>6.4768159137898351</v>
      </c>
      <c r="I99" s="6">
        <f t="shared" si="9"/>
        <v>3.6229130973971451</v>
      </c>
      <c r="J99" s="6">
        <f t="shared" si="10"/>
        <v>15.982334304093186</v>
      </c>
      <c r="K99" s="6">
        <f>100*[1]anual!$M98/[1]anual!$M97-100</f>
        <v>8.0213202500727192</v>
      </c>
      <c r="L99" s="6">
        <f t="shared" si="6"/>
        <v>67.540136428613721</v>
      </c>
      <c r="M99" s="6">
        <f t="shared" si="7"/>
        <v>16.932808165123237</v>
      </c>
      <c r="N99" s="6">
        <f>100*([1]anual!$D98+[1]anual!$H98)/B99</f>
        <v>15.609856870279154</v>
      </c>
      <c r="O99" s="6">
        <f>100*([1]anual!$J98-[1]anual!$K98)/B99</f>
        <v>1.2384651391090447</v>
      </c>
      <c r="P99" s="6">
        <f>[1]anual!$L98</f>
        <v>8.5466944098351103</v>
      </c>
      <c r="R99" s="6">
        <f t="shared" si="12"/>
        <v>8.5466944098351103</v>
      </c>
      <c r="S99" s="6">
        <f>[1]anual!$N98</f>
        <v>6.7740855376756601E-2</v>
      </c>
    </row>
    <row r="100" spans="1:19" x14ac:dyDescent="0.35">
      <c r="A100">
        <v>1998</v>
      </c>
      <c r="B100" s="7">
        <f>[1]anual!$B99</f>
        <v>213189.99339258901</v>
      </c>
      <c r="C100" s="7">
        <f>[1]anual!$C99</f>
        <v>141698</v>
      </c>
      <c r="D100" s="7">
        <f>[1]anual!$G99</f>
        <v>35373</v>
      </c>
      <c r="E100" s="5">
        <f t="shared" si="2"/>
        <v>12.269939034865525</v>
      </c>
      <c r="F100" s="5">
        <f t="shared" si="3"/>
        <v>11.861453311253122</v>
      </c>
      <c r="G100" s="5">
        <f t="shared" si="4"/>
        <v>10.473704096244782</v>
      </c>
      <c r="H100" s="6">
        <f t="shared" si="8"/>
        <v>-0.39167625505365322</v>
      </c>
      <c r="I100" s="6">
        <f t="shared" si="9"/>
        <v>-1.9764103628376688</v>
      </c>
      <c r="J100" s="6">
        <f t="shared" si="10"/>
        <v>-2.3950773985265243</v>
      </c>
      <c r="K100" s="6">
        <f>100*[1]anual!$M99/[1]anual!$M98-100</f>
        <v>-2.5476842989246933</v>
      </c>
      <c r="L100" s="6">
        <f t="shared" si="6"/>
        <v>66.465596130988843</v>
      </c>
      <c r="M100" s="6">
        <f t="shared" si="7"/>
        <v>16.5922421766113</v>
      </c>
      <c r="N100" s="6">
        <f>100*([1]anual!$D99+[1]anual!$H99)/B100</f>
        <v>16.278912999156521</v>
      </c>
      <c r="O100" s="6">
        <f>100*([1]anual!$J99-[1]anual!$K99)/B100</f>
        <v>2.0495950363645434</v>
      </c>
      <c r="P100" s="6">
        <f>[1]anual!$L99</f>
        <v>7.2549595800412003</v>
      </c>
      <c r="R100" s="6">
        <f t="shared" si="12"/>
        <v>7.2549595800412003</v>
      </c>
      <c r="S100" s="6">
        <f>[1]anual!$N99</f>
        <v>-1.0380399522835799</v>
      </c>
    </row>
    <row r="101" spans="1:19" x14ac:dyDescent="0.35">
      <c r="A101">
        <v>1999</v>
      </c>
      <c r="B101" s="7">
        <f>[1]anual!$B100</f>
        <v>216376.74063051399</v>
      </c>
      <c r="C101" s="7">
        <f>[1]anual!$C100</f>
        <v>139666</v>
      </c>
      <c r="D101" s="7">
        <f>[1]anual!$G100</f>
        <v>29981</v>
      </c>
      <c r="E101" s="5">
        <f t="shared" si="2"/>
        <v>12.284776336954595</v>
      </c>
      <c r="F101" s="5">
        <f t="shared" si="3"/>
        <v>11.847009136955084</v>
      </c>
      <c r="G101" s="5">
        <f t="shared" si="4"/>
        <v>10.308319126670684</v>
      </c>
      <c r="H101" s="6">
        <f t="shared" si="8"/>
        <v>1.494792127535078</v>
      </c>
      <c r="I101" s="6">
        <f t="shared" si="9"/>
        <v>-1.4340357662070033</v>
      </c>
      <c r="J101" s="6">
        <f t="shared" si="10"/>
        <v>-15.243264636869924</v>
      </c>
      <c r="K101" s="6">
        <f>100*[1]anual!$M100/[1]anual!$M99-100</f>
        <v>-5.6071073040246375</v>
      </c>
      <c r="L101" s="6">
        <f t="shared" si="6"/>
        <v>64.547603218820257</v>
      </c>
      <c r="M101" s="6">
        <f t="shared" si="7"/>
        <v>13.855925508738347</v>
      </c>
      <c r="N101" s="6">
        <f>100*([1]anual!$D100+[1]anual!$H100)/B101</f>
        <v>16.954415615289811</v>
      </c>
      <c r="O101" s="6">
        <f>100*([1]anual!$J100-[1]anual!$K100)/B101</f>
        <v>7.0409641617708703</v>
      </c>
      <c r="P101" s="6">
        <f>[1]anual!$L100</f>
        <v>3.4693214017810399</v>
      </c>
      <c r="R101" s="6">
        <f t="shared" si="12"/>
        <v>3.4693214017810399</v>
      </c>
      <c r="S101" s="6">
        <f>[1]anual!$N100</f>
        <v>-3.4131187655889899</v>
      </c>
    </row>
    <row r="102" spans="1:19" x14ac:dyDescent="0.35">
      <c r="A102">
        <v>2000</v>
      </c>
      <c r="B102" s="7">
        <f>[1]anual!$B101</f>
        <v>222206.70734869401</v>
      </c>
      <c r="C102" s="7">
        <f>[1]anual!$C101</f>
        <v>143191</v>
      </c>
      <c r="D102" s="7">
        <f>[1]anual!$G101</f>
        <v>29461</v>
      </c>
      <c r="E102" s="5">
        <f t="shared" si="2"/>
        <v>12.311363341819808</v>
      </c>
      <c r="F102" s="5">
        <f t="shared" si="3"/>
        <v>11.871934682371579</v>
      </c>
      <c r="G102" s="5">
        <f t="shared" si="4"/>
        <v>10.290822633771823</v>
      </c>
      <c r="H102" s="6">
        <f t="shared" si="8"/>
        <v>2.6943592463735797</v>
      </c>
      <c r="I102" s="6">
        <f t="shared" si="9"/>
        <v>2.5238783956009314</v>
      </c>
      <c r="J102" s="6">
        <f t="shared" si="10"/>
        <v>-1.7344318068109743</v>
      </c>
      <c r="K102" s="6">
        <f>100*[1]anual!$M101/[1]anual!$M100-100</f>
        <v>-1.3847457590671155</v>
      </c>
      <c r="L102" s="6">
        <f t="shared" si="6"/>
        <v>64.440449034375916</v>
      </c>
      <c r="M102" s="6">
        <f t="shared" si="7"/>
        <v>13.258375659096933</v>
      </c>
      <c r="N102" s="6">
        <f>100*([1]anual!$D101+[1]anual!$H101)/B102</f>
        <v>16.042036930272218</v>
      </c>
      <c r="O102" s="6">
        <f>100*([1]anual!$J101-[1]anual!$K101)/B102</f>
        <v>7.8921471564281607</v>
      </c>
      <c r="P102" s="6">
        <f>[1]anual!$L101</f>
        <v>3.75854207371682</v>
      </c>
      <c r="R102" s="6">
        <f t="shared" si="12"/>
        <v>3.75854207371682</v>
      </c>
      <c r="S102" s="6">
        <f>[1]anual!$N101</f>
        <v>-3.4301267084033</v>
      </c>
    </row>
    <row r="103" spans="1:19" x14ac:dyDescent="0.35">
      <c r="A103">
        <v>2001</v>
      </c>
      <c r="B103" s="7">
        <f>[1]anual!$B102</f>
        <v>223579.57575061801</v>
      </c>
      <c r="C103" s="7">
        <f>[1]anual!$C102</f>
        <v>144629</v>
      </c>
      <c r="D103" s="7">
        <f>[1]anual!$G102</f>
        <v>28089</v>
      </c>
      <c r="E103" s="5">
        <f t="shared" si="2"/>
        <v>12.317522673294196</v>
      </c>
      <c r="F103" s="5">
        <f t="shared" si="3"/>
        <v>11.881927121849033</v>
      </c>
      <c r="G103" s="5">
        <f t="shared" si="4"/>
        <v>10.243133319606999</v>
      </c>
      <c r="H103" s="6">
        <f t="shared" si="8"/>
        <v>0.61783391613361971</v>
      </c>
      <c r="I103" s="6">
        <f t="shared" si="9"/>
        <v>1.0042530605973781</v>
      </c>
      <c r="J103" s="6">
        <f t="shared" si="10"/>
        <v>-4.6570041750110249</v>
      </c>
      <c r="K103" s="6">
        <f>100*[1]anual!$M102/[1]anual!$M101-100</f>
        <v>-0.50004684756588347</v>
      </c>
      <c r="L103" s="6">
        <f t="shared" si="6"/>
        <v>64.687930243377892</v>
      </c>
      <c r="M103" s="6">
        <f t="shared" si="7"/>
        <v>12.563312147676065</v>
      </c>
      <c r="N103" s="6">
        <f>100*([1]anual!$D102+[1]anual!$H102)/B103</f>
        <v>14.775080892867793</v>
      </c>
      <c r="O103" s="6">
        <f>100*([1]anual!$J102-[1]anual!$K102)/B103</f>
        <v>9.0036998912230697</v>
      </c>
      <c r="P103" s="6">
        <f>[1]anual!$L102</f>
        <v>1.9753909200396</v>
      </c>
      <c r="R103" s="6">
        <f t="shared" si="12"/>
        <v>1.9753909200396</v>
      </c>
      <c r="S103" s="6">
        <f>[1]anual!$N102</f>
        <v>-2.8210339361979799</v>
      </c>
    </row>
    <row r="104" spans="1:19" x14ac:dyDescent="0.35">
      <c r="A104">
        <v>2002</v>
      </c>
      <c r="B104" s="7">
        <f>[1]anual!$B103</f>
        <v>235772.94712897899</v>
      </c>
      <c r="C104" s="7">
        <f>[1]anual!$C103</f>
        <v>151674</v>
      </c>
      <c r="D104" s="7">
        <f>[1]anual!$G103</f>
        <v>28145</v>
      </c>
      <c r="E104" s="5">
        <f t="shared" si="2"/>
        <v>12.370624532467083</v>
      </c>
      <c r="F104" s="5">
        <f t="shared" si="3"/>
        <v>11.929488759744427</v>
      </c>
      <c r="G104" s="5">
        <f t="shared" si="4"/>
        <v>10.245124997898127</v>
      </c>
      <c r="H104" s="6">
        <f t="shared" si="8"/>
        <v>5.4537053921068122</v>
      </c>
      <c r="I104" s="6">
        <f t="shared" si="9"/>
        <v>4.8710839458199899</v>
      </c>
      <c r="J104" s="6">
        <f t="shared" si="10"/>
        <v>0.19936629997508248</v>
      </c>
      <c r="K104" s="6">
        <f>100*[1]anual!$M103/[1]anual!$M102-100</f>
        <v>7.214623391361954</v>
      </c>
      <c r="L104" s="6">
        <f t="shared" si="6"/>
        <v>64.330535732340451</v>
      </c>
      <c r="M104" s="6">
        <f t="shared" si="7"/>
        <v>11.937332226925657</v>
      </c>
      <c r="N104" s="6">
        <f>100*([1]anual!$D103+[1]anual!$H103)/B104</f>
        <v>13.806865146791003</v>
      </c>
      <c r="O104" s="6">
        <f>100*([1]anual!$J103-[1]anual!$K103)/B104</f>
        <v>9.9016548144801533</v>
      </c>
      <c r="P104" s="6">
        <f>[1]anual!$L103</f>
        <v>0.191899419690927</v>
      </c>
      <c r="R104" s="6">
        <f t="shared" si="12"/>
        <v>0.191899419690927</v>
      </c>
      <c r="S104" s="6">
        <f>[1]anual!$N103</f>
        <v>-2.3130106957643402</v>
      </c>
    </row>
    <row r="105" spans="1:19" x14ac:dyDescent="0.35">
      <c r="A105">
        <v>2003</v>
      </c>
      <c r="B105" s="7">
        <f>[1]anual!$B104</f>
        <v>245592.61375299</v>
      </c>
      <c r="C105" s="7">
        <f>[1]anual!$C104</f>
        <v>155487</v>
      </c>
      <c r="D105" s="7">
        <f>[1]anual!$G104</f>
        <v>29915</v>
      </c>
      <c r="E105" s="5">
        <f t="shared" si="2"/>
        <v>12.41142940050724</v>
      </c>
      <c r="F105" s="5">
        <f t="shared" si="3"/>
        <v>11.95431740582047</v>
      </c>
      <c r="G105" s="5">
        <f t="shared" si="4"/>
        <v>10.306115305824132</v>
      </c>
      <c r="H105" s="6">
        <f t="shared" si="8"/>
        <v>4.1648826736000331</v>
      </c>
      <c r="I105" s="6">
        <f t="shared" si="9"/>
        <v>2.5139443807112656</v>
      </c>
      <c r="J105" s="6">
        <f t="shared" si="10"/>
        <v>6.2888612542192277</v>
      </c>
      <c r="K105" s="6">
        <f>100*[1]anual!$M104/[1]anual!$M103-100</f>
        <v>1.5766766884299699</v>
      </c>
      <c r="L105" s="6">
        <f t="shared" si="6"/>
        <v>63.310943119968734</v>
      </c>
      <c r="M105" s="6">
        <f t="shared" si="7"/>
        <v>12.18074092003746</v>
      </c>
      <c r="N105" s="6">
        <f>100*([1]anual!$D104+[1]anual!$H104)/B105</f>
        <v>13.723014631165588</v>
      </c>
      <c r="O105" s="6">
        <f>100*([1]anual!$J104-[1]anual!$K104)/B105</f>
        <v>10.361145528945574</v>
      </c>
      <c r="P105" s="6">
        <f>[1]anual!$L104</f>
        <v>2.26122497417404</v>
      </c>
      <c r="R105" s="6">
        <f t="shared" si="12"/>
        <v>2.26122497417404</v>
      </c>
      <c r="S105" s="6">
        <f>[1]anual!$N104</f>
        <v>-1.7535507407502999</v>
      </c>
    </row>
    <row r="106" spans="1:19" x14ac:dyDescent="0.35">
      <c r="A106">
        <v>2004</v>
      </c>
      <c r="B106" s="7">
        <f>[1]anual!$B105</f>
        <v>257769.78623307301</v>
      </c>
      <c r="C106" s="7">
        <f>[1]anual!$C105</f>
        <v>160769</v>
      </c>
      <c r="D106" s="7">
        <f>[1]anual!$G105</f>
        <v>32335</v>
      </c>
      <c r="E106" s="5">
        <f t="shared" si="2"/>
        <v>12.459822164143667</v>
      </c>
      <c r="F106" s="5">
        <f t="shared" si="3"/>
        <v>11.987723831071728</v>
      </c>
      <c r="G106" s="5">
        <f t="shared" si="4"/>
        <v>10.383905513880693</v>
      </c>
      <c r="H106" s="6">
        <f t="shared" si="8"/>
        <v>4.9582812341133717</v>
      </c>
      <c r="I106" s="6">
        <f t="shared" si="9"/>
        <v>3.3970685652176655</v>
      </c>
      <c r="J106" s="6">
        <f t="shared" si="10"/>
        <v>8.0895871636302843</v>
      </c>
      <c r="K106" s="6">
        <f>100*[1]anual!$M105/[1]anual!$M104-100</f>
        <v>12.933450300566932</v>
      </c>
      <c r="L106" s="6">
        <f t="shared" si="6"/>
        <v>62.369218033425447</v>
      </c>
      <c r="M106" s="6">
        <f t="shared" si="7"/>
        <v>12.544138889405369</v>
      </c>
      <c r="N106" s="6">
        <f>100*([1]anual!$D105+[1]anual!$H105)/B106</f>
        <v>13.487040536544898</v>
      </c>
      <c r="O106" s="6">
        <f>100*([1]anual!$J105-[1]anual!$K105)/B106</f>
        <v>12.288365213210806</v>
      </c>
      <c r="P106" s="6">
        <f>[1]anual!$L105</f>
        <v>3.6615457550766499</v>
      </c>
      <c r="R106" s="6">
        <f t="shared" si="12"/>
        <v>3.6615457550766499</v>
      </c>
      <c r="S106" s="6">
        <f>[1]anual!$N105</f>
        <v>-1.1332905162353699</v>
      </c>
    </row>
    <row r="107" spans="1:19" x14ac:dyDescent="0.35">
      <c r="A107">
        <v>2005</v>
      </c>
      <c r="B107" s="7">
        <f>[1]anual!$B106</f>
        <v>273971.15388679103</v>
      </c>
      <c r="C107" s="7">
        <f>[1]anual!$C106</f>
        <v>166654</v>
      </c>
      <c r="D107" s="7">
        <f>[1]anual!$G106</f>
        <v>36217</v>
      </c>
      <c r="E107" s="5">
        <f t="shared" si="2"/>
        <v>12.520778102042678</v>
      </c>
      <c r="F107" s="5">
        <f t="shared" si="3"/>
        <v>12.023675085848073</v>
      </c>
      <c r="G107" s="5">
        <f t="shared" si="4"/>
        <v>10.497283900839735</v>
      </c>
      <c r="H107" s="6">
        <f t="shared" si="8"/>
        <v>6.2852081659674752</v>
      </c>
      <c r="I107" s="6">
        <f t="shared" si="9"/>
        <v>3.6605315701410035</v>
      </c>
      <c r="J107" s="6">
        <f t="shared" si="10"/>
        <v>12.00556672336478</v>
      </c>
      <c r="K107" s="6">
        <f>100*[1]anual!$M106/[1]anual!$M105-100</f>
        <v>5.6402263189088302</v>
      </c>
      <c r="L107" s="6">
        <f t="shared" si="6"/>
        <v>60.829031682971966</v>
      </c>
      <c r="M107" s="6">
        <f t="shared" si="7"/>
        <v>13.219274907666158</v>
      </c>
      <c r="N107" s="6">
        <f>100*([1]anual!$D106+[1]anual!$H106)/B107</f>
        <v>13.872792273230438</v>
      </c>
      <c r="O107" s="6">
        <f>100*([1]anual!$J106-[1]anual!$K106)/B107</f>
        <v>14.109736413309294</v>
      </c>
      <c r="P107" s="6">
        <f>[1]anual!$L106</f>
        <v>1.61769855619021</v>
      </c>
      <c r="R107" s="6">
        <f t="shared" si="12"/>
        <v>1.61769855619021</v>
      </c>
      <c r="S107" s="6">
        <f>[1]anual!$N106</f>
        <v>-0.35545606552201697</v>
      </c>
    </row>
    <row r="108" spans="1:19" x14ac:dyDescent="0.35">
      <c r="A108">
        <v>2006</v>
      </c>
      <c r="B108" s="7">
        <f>[1]anual!$B107</f>
        <v>294597.830810429</v>
      </c>
      <c r="C108" s="7">
        <f>[1]anual!$C107</f>
        <v>177006</v>
      </c>
      <c r="D108" s="7">
        <f>[1]anual!$G107</f>
        <v>43482</v>
      </c>
      <c r="E108" s="5">
        <f t="shared" si="2"/>
        <v>12.593366419814615</v>
      </c>
      <c r="F108" s="5">
        <f t="shared" si="3"/>
        <v>12.083938909286516</v>
      </c>
      <c r="G108" s="5">
        <f t="shared" si="4"/>
        <v>10.680102338337337</v>
      </c>
      <c r="H108" s="6">
        <f t="shared" si="8"/>
        <v>7.5287768916581683</v>
      </c>
      <c r="I108" s="6">
        <f t="shared" si="9"/>
        <v>6.2116720870786111</v>
      </c>
      <c r="J108" s="6">
        <f t="shared" si="10"/>
        <v>20.059640500317528</v>
      </c>
      <c r="K108" s="6">
        <f>100*[1]anual!$M107/[1]anual!$M106-100</f>
        <v>28.72339190985474</v>
      </c>
      <c r="L108" s="6">
        <f t="shared" si="6"/>
        <v>60.083945463231103</v>
      </c>
      <c r="M108" s="6">
        <f t="shared" si="7"/>
        <v>14.759782813193986</v>
      </c>
      <c r="N108" s="6">
        <f>100*([1]anual!$D107+[1]anual!$H107)/B108</f>
        <v>14.158544382612424</v>
      </c>
      <c r="O108" s="6">
        <f>100*([1]anual!$J107-[1]anual!$K107)/B108</f>
        <v>10.559764963980486</v>
      </c>
      <c r="P108" s="6">
        <f>[1]anual!$L107</f>
        <v>2.0013815345936798</v>
      </c>
      <c r="R108" s="6">
        <f t="shared" si="12"/>
        <v>2.0013815345936798</v>
      </c>
      <c r="S108" s="6">
        <f>[1]anual!$N107</f>
        <v>2.4662206688956099</v>
      </c>
    </row>
    <row r="109" spans="1:19" x14ac:dyDescent="0.35">
      <c r="A109">
        <v>2007</v>
      </c>
      <c r="B109" s="7">
        <f>[1]anual!$B108</f>
        <v>319693</v>
      </c>
      <c r="C109" s="7">
        <f>[1]anual!$C108</f>
        <v>192316</v>
      </c>
      <c r="D109" s="7">
        <f>[1]anual!$G108</f>
        <v>53625.998888904403</v>
      </c>
      <c r="E109" s="5">
        <f t="shared" si="2"/>
        <v>12.675116439281165</v>
      </c>
      <c r="F109" s="5">
        <f t="shared" si="3"/>
        <v>12.1668951314438</v>
      </c>
      <c r="G109" s="5">
        <f t="shared" si="4"/>
        <v>10.889789283355748</v>
      </c>
      <c r="H109" s="6">
        <f t="shared" si="8"/>
        <v>8.5184500919558701</v>
      </c>
      <c r="I109" s="6">
        <f t="shared" si="9"/>
        <v>8.6494243133001163</v>
      </c>
      <c r="J109" s="6">
        <f t="shared" si="10"/>
        <v>23.329191134042603</v>
      </c>
      <c r="K109" s="6">
        <f>100*[1]anual!$M108/[1]anual!$M107-100</f>
        <v>6.1903144016241782</v>
      </c>
      <c r="L109" s="6">
        <f t="shared" si="6"/>
        <v>60.156462606312928</v>
      </c>
      <c r="M109" s="6">
        <f t="shared" si="7"/>
        <v>16.774217417617653</v>
      </c>
      <c r="N109" s="6">
        <f>100*([1]anual!$D108+[1]anual!$H108)/B109</f>
        <v>13.996464238320984</v>
      </c>
      <c r="O109" s="6">
        <f>100*([1]anual!$J108-[1]anual!$K108)/B109</f>
        <v>7.1209716006875983</v>
      </c>
      <c r="P109" s="6">
        <f>[1]anual!$L108</f>
        <v>1.7786825621340501</v>
      </c>
      <c r="R109" s="6">
        <f t="shared" si="12"/>
        <v>1.7786825621340501</v>
      </c>
      <c r="S109" s="6">
        <f>[1]anual!$N108</f>
        <v>3.0650127095438902</v>
      </c>
    </row>
    <row r="110" spans="1:19" x14ac:dyDescent="0.35">
      <c r="A110">
        <v>2008</v>
      </c>
      <c r="B110" s="7">
        <f>[1]anual!$B109</f>
        <v>348870.00004491099</v>
      </c>
      <c r="C110" s="7">
        <f>[1]anual!$C109</f>
        <v>209428.39583893801</v>
      </c>
      <c r="D110" s="7">
        <f>[1]anual!$G109</f>
        <v>66440.200025131795</v>
      </c>
      <c r="E110" s="5">
        <f t="shared" si="2"/>
        <v>12.762454639083931</v>
      </c>
      <c r="F110" s="5">
        <f t="shared" si="3"/>
        <v>12.252137173950535</v>
      </c>
      <c r="G110" s="5">
        <f t="shared" si="4"/>
        <v>11.10405757433576</v>
      </c>
      <c r="H110" s="6">
        <f t="shared" si="8"/>
        <v>9.1265683155123725</v>
      </c>
      <c r="I110" s="6">
        <f t="shared" si="9"/>
        <v>8.8980614399935689</v>
      </c>
      <c r="J110" s="6">
        <f t="shared" si="10"/>
        <v>23.89550106614189</v>
      </c>
      <c r="K110" s="6">
        <f>100*[1]anual!$M109/[1]anual!$M108-100</f>
        <v>-13.038865750165499</v>
      </c>
      <c r="L110" s="6">
        <f t="shared" si="6"/>
        <v>60.030497266023943</v>
      </c>
      <c r="M110" s="6">
        <f t="shared" si="7"/>
        <v>19.044400497772454</v>
      </c>
      <c r="N110" s="6">
        <f>100*([1]anual!$D109+[1]anual!$H109)/B110</f>
        <v>14.203761905257359</v>
      </c>
      <c r="O110" s="6">
        <f>100*([1]anual!$J109-[1]anual!$K109)/B110</f>
        <v>4.1314674315331246</v>
      </c>
      <c r="P110" s="6">
        <f>[1]anual!$L109</f>
        <v>5.7878808324570503</v>
      </c>
      <c r="R110" s="6">
        <f t="shared" si="12"/>
        <v>5.7878808324570503</v>
      </c>
      <c r="S110" s="6">
        <f>[1]anual!$N109</f>
        <v>2.5258152494006998</v>
      </c>
    </row>
    <row r="111" spans="1:19" x14ac:dyDescent="0.35">
      <c r="A111">
        <v>2009</v>
      </c>
      <c r="B111" s="7">
        <f>[1]anual!$B110</f>
        <v>352693.000050442</v>
      </c>
      <c r="C111" s="7">
        <f>[1]anual!$C110</f>
        <v>215863.00305924</v>
      </c>
      <c r="D111" s="7">
        <f>[1]anual!$G110</f>
        <v>60565.1919156886</v>
      </c>
      <c r="E111" s="5">
        <f t="shared" si="2"/>
        <v>12.773353269274832</v>
      </c>
      <c r="F111" s="5">
        <f t="shared" si="3"/>
        <v>12.282399240351685</v>
      </c>
      <c r="G111" s="5">
        <f t="shared" si="4"/>
        <v>11.011475616201576</v>
      </c>
      <c r="H111" s="6">
        <f t="shared" si="8"/>
        <v>1.0958236606870315</v>
      </c>
      <c r="I111" s="6">
        <f t="shared" si="9"/>
        <v>3.0724616853058109</v>
      </c>
      <c r="J111" s="6">
        <f t="shared" si="10"/>
        <v>-8.8425503042147682</v>
      </c>
      <c r="K111" s="6">
        <f>100*[1]anual!$M110/[1]anual!$M109-100</f>
        <v>-1.4220448851048673E-2</v>
      </c>
      <c r="L111" s="6">
        <f t="shared" si="6"/>
        <v>61.204220959408708</v>
      </c>
      <c r="M111" s="6">
        <f t="shared" si="7"/>
        <v>17.172212634508366</v>
      </c>
      <c r="N111" s="6">
        <f>100*([1]anual!$D110+[1]anual!$H110)/B111</f>
        <v>16.735013454757034</v>
      </c>
      <c r="O111" s="6">
        <f>100*([1]anual!$J110-[1]anual!$K110)/B111</f>
        <v>7.1614492187986194</v>
      </c>
      <c r="P111" s="6">
        <f>[1]anual!$L110</f>
        <v>2.9353447267621098</v>
      </c>
      <c r="R111" s="6">
        <f t="shared" si="12"/>
        <v>2.9353447267621098</v>
      </c>
      <c r="S111" s="6">
        <f>[1]anual!$N110</f>
        <v>-1.28633315092385</v>
      </c>
    </row>
    <row r="112" spans="1:19" x14ac:dyDescent="0.35">
      <c r="A112">
        <v>2010</v>
      </c>
      <c r="B112" s="7">
        <f>[1]anual!$B111</f>
        <v>382081.00000045</v>
      </c>
      <c r="C112" s="7">
        <f>[1]anual!$C111</f>
        <v>235507.844270239</v>
      </c>
      <c r="D112" s="7">
        <f>[1]anual!$G111</f>
        <v>75789.747795359101</v>
      </c>
      <c r="E112" s="5">
        <f t="shared" si="2"/>
        <v>12.853387906997003</v>
      </c>
      <c r="F112" s="5">
        <f t="shared" si="3"/>
        <v>12.369499500887015</v>
      </c>
      <c r="G112" s="5">
        <f t="shared" si="4"/>
        <v>11.235718309123524</v>
      </c>
      <c r="H112" s="6">
        <f t="shared" si="8"/>
        <v>8.3324590921296817</v>
      </c>
      <c r="I112" s="6">
        <f t="shared" si="9"/>
        <v>9.1006059086502091</v>
      </c>
      <c r="J112" s="6">
        <f t="shared" si="10"/>
        <v>25.1374682356563</v>
      </c>
      <c r="K112" s="6">
        <f>100*[1]anual!$M111/[1]anual!$M110-100</f>
        <v>19.538779650892337</v>
      </c>
      <c r="L112" s="6">
        <f t="shared" si="6"/>
        <v>61.63819825376337</v>
      </c>
      <c r="M112" s="6">
        <f t="shared" si="7"/>
        <v>19.836042042203051</v>
      </c>
      <c r="N112" s="6">
        <f>100*([1]anual!$D111+[1]anual!$H111)/B112</f>
        <v>16.680551243831133</v>
      </c>
      <c r="O112" s="6">
        <f>100*([1]anual!$J111-[1]anual!$K111)/B112</f>
        <v>2.0166134055075293</v>
      </c>
      <c r="P112" s="6">
        <f>[1]anual!$L111</f>
        <v>1.52952730656656</v>
      </c>
      <c r="R112" s="6">
        <f t="shared" si="12"/>
        <v>1.52952730656656</v>
      </c>
      <c r="S112" s="6">
        <f>[1]anual!$N111</f>
        <v>-0.17518334835393601</v>
      </c>
    </row>
    <row r="113" spans="1:19" x14ac:dyDescent="0.35">
      <c r="A113">
        <v>2011</v>
      </c>
      <c r="B113" s="7">
        <f>[1]anual!$B112</f>
        <v>406256.00001109199</v>
      </c>
      <c r="C113" s="7">
        <f>[1]anual!$C112</f>
        <v>252468.34728016099</v>
      </c>
      <c r="D113" s="7">
        <f>[1]anual!$G112</f>
        <v>84461.645877517905</v>
      </c>
      <c r="E113" s="5">
        <f t="shared" si="2"/>
        <v>12.914738781775092</v>
      </c>
      <c r="F113" s="5">
        <f t="shared" si="3"/>
        <v>12.439041162533375</v>
      </c>
      <c r="G113" s="5">
        <f t="shared" si="4"/>
        <v>11.34405281536316</v>
      </c>
      <c r="H113" s="6">
        <f t="shared" si="8"/>
        <v>6.3271924043889953</v>
      </c>
      <c r="I113" s="6">
        <f t="shared" si="9"/>
        <v>7.2016722256012287</v>
      </c>
      <c r="J113" s="6">
        <f t="shared" si="10"/>
        <v>11.442046364336662</v>
      </c>
      <c r="K113" s="6">
        <f>100*[1]anual!$M112/[1]anual!$M111-100</f>
        <v>5.7260580140607686</v>
      </c>
      <c r="L113" s="6">
        <f t="shared" si="6"/>
        <v>62.145136877552055</v>
      </c>
      <c r="M113" s="6">
        <f t="shared" si="7"/>
        <v>20.790251928639048</v>
      </c>
      <c r="N113" s="6">
        <f>100*([1]anual!$D112+[1]anual!$H112)/B113</f>
        <v>15.75041727092143</v>
      </c>
      <c r="O113" s="6">
        <f>100*([1]anual!$J112-[1]anual!$K112)/B113</f>
        <v>1.2966580106989636</v>
      </c>
      <c r="P113" s="6">
        <f>[1]anual!$L112</f>
        <v>3.3696654863748599</v>
      </c>
      <c r="R113" s="6">
        <f t="shared" si="12"/>
        <v>3.3696654863748599</v>
      </c>
      <c r="S113" s="6">
        <f>[1]anual!$N112</f>
        <v>2.0805417109542601</v>
      </c>
    </row>
    <row r="114" spans="1:19" x14ac:dyDescent="0.35">
      <c r="A114">
        <v>2012</v>
      </c>
      <c r="B114" s="7">
        <f>[1]anual!$B113</f>
        <v>431199.00003767299</v>
      </c>
      <c r="C114" s="7">
        <f>[1]anual!$C113</f>
        <v>271240.36201272899</v>
      </c>
      <c r="D114" s="7">
        <f>[1]anual!$G113</f>
        <v>97669.113540927196</v>
      </c>
      <c r="E114" s="5">
        <f t="shared" si="2"/>
        <v>12.974324979552142</v>
      </c>
      <c r="F114" s="5">
        <f t="shared" si="3"/>
        <v>12.510760651455231</v>
      </c>
      <c r="G114" s="5">
        <f t="shared" si="4"/>
        <v>11.48934065233734</v>
      </c>
      <c r="H114" s="6">
        <f t="shared" si="8"/>
        <v>6.1397247119796248</v>
      </c>
      <c r="I114" s="6">
        <f t="shared" si="9"/>
        <v>7.435393361107927</v>
      </c>
      <c r="J114" s="6">
        <f t="shared" si="10"/>
        <v>15.637236909356588</v>
      </c>
      <c r="K114" s="6">
        <f>100*[1]anual!$M113/[1]anual!$M112-100</f>
        <v>-1.7185629333304604</v>
      </c>
      <c r="L114" s="6">
        <f t="shared" si="6"/>
        <v>62.903754876294066</v>
      </c>
      <c r="M114" s="6">
        <f t="shared" si="7"/>
        <v>22.650589062681973</v>
      </c>
      <c r="N114" s="6">
        <f>100*([1]anual!$D113+[1]anual!$H113)/B114</f>
        <v>16.685919782323243</v>
      </c>
      <c r="O114" s="6">
        <f>100*([1]anual!$J113-[1]anual!$K113)/B114</f>
        <v>-0.39107698348944936</v>
      </c>
      <c r="P114" s="6">
        <f>[1]anual!$L113</f>
        <v>3.6554139094222502</v>
      </c>
      <c r="R114" s="6">
        <f t="shared" si="12"/>
        <v>3.6554139094222502</v>
      </c>
      <c r="S114" s="6">
        <f>[1]anual!$N113</f>
        <v>2.2731265809592802</v>
      </c>
    </row>
    <row r="115" spans="1:19" x14ac:dyDescent="0.35">
      <c r="A115">
        <v>2013</v>
      </c>
      <c r="B115" s="7">
        <f>[1]anual!$B114</f>
        <v>456435.000032446</v>
      </c>
      <c r="C115" s="7">
        <f>[1]anual!$C114</f>
        <v>286789.03269387298</v>
      </c>
      <c r="D115" s="7">
        <f>[1]anual!$G114</f>
        <v>104546.013065675</v>
      </c>
      <c r="E115" s="5">
        <f t="shared" si="2"/>
        <v>13.031201581217401</v>
      </c>
      <c r="F115" s="5">
        <f t="shared" si="3"/>
        <v>12.566502146717962</v>
      </c>
      <c r="G115" s="5">
        <f t="shared" si="4"/>
        <v>11.557382569894118</v>
      </c>
      <c r="H115" s="6">
        <f t="shared" si="8"/>
        <v>5.8525182091257619</v>
      </c>
      <c r="I115" s="6">
        <f t="shared" si="9"/>
        <v>5.7324325059020111</v>
      </c>
      <c r="J115" s="6">
        <f t="shared" si="10"/>
        <v>7.0410176517739274</v>
      </c>
      <c r="K115" s="6">
        <f>100*[1]anual!$M114/[1]anual!$M113-100</f>
        <v>-5.4605675508160658</v>
      </c>
      <c r="L115" s="6">
        <f t="shared" si="6"/>
        <v>62.832392930753862</v>
      </c>
      <c r="M115" s="6">
        <f t="shared" si="7"/>
        <v>22.904907173692479</v>
      </c>
      <c r="N115" s="6">
        <f>100*([1]anual!$D114+[1]anual!$H114)/B115</f>
        <v>17.172588014200969</v>
      </c>
      <c r="O115" s="6">
        <f>100*([1]anual!$J114-[1]anual!$K114)/B115</f>
        <v>-1.8903482740126556</v>
      </c>
      <c r="P115" s="6">
        <f>[1]anual!$L114</f>
        <v>2.8058274546629298</v>
      </c>
      <c r="R115" s="6">
        <f t="shared" si="12"/>
        <v>2.8058274546629298</v>
      </c>
      <c r="S115" s="6">
        <f>[1]anual!$N114</f>
        <v>0.88421903723390505</v>
      </c>
    </row>
    <row r="116" spans="1:19" x14ac:dyDescent="0.35">
      <c r="A116">
        <v>2014</v>
      </c>
      <c r="B116" s="7">
        <f>[1]anual!$B115</f>
        <v>467308.00008253101</v>
      </c>
      <c r="C116" s="7">
        <f>[1]anual!$C115</f>
        <v>298900.54220575199</v>
      </c>
      <c r="D116" s="7">
        <f>[1]anual!$G115</f>
        <v>102616.22092331501</v>
      </c>
      <c r="E116" s="5">
        <f t="shared" si="2"/>
        <v>13.054743848341957</v>
      </c>
      <c r="F116" s="5">
        <f t="shared" si="3"/>
        <v>12.607866162274238</v>
      </c>
      <c r="G116" s="5">
        <f t="shared" si="4"/>
        <v>11.538751297890316</v>
      </c>
      <c r="H116" s="6">
        <f t="shared" si="8"/>
        <v>2.3821573826091509</v>
      </c>
      <c r="I116" s="6">
        <f t="shared" si="9"/>
        <v>4.2231424954130574</v>
      </c>
      <c r="J116" s="6">
        <f t="shared" si="10"/>
        <v>-1.8458782748106444</v>
      </c>
      <c r="K116" s="6">
        <f>100*[1]anual!$M115/[1]anual!$M114-100</f>
        <v>-4.3865417087987311</v>
      </c>
      <c r="L116" s="6">
        <f t="shared" si="6"/>
        <v>63.962213818929555</v>
      </c>
      <c r="M116" s="6">
        <f t="shared" si="7"/>
        <v>21.959012237152372</v>
      </c>
      <c r="N116" s="6">
        <f>100*([1]anual!$D115+[1]anual!$H115)/B116</f>
        <v>17.313083162815218</v>
      </c>
      <c r="O116" s="6">
        <f>100*([1]anual!$J115-[1]anual!$K115)/B116</f>
        <v>-2.1363630614953806</v>
      </c>
      <c r="P116" s="6">
        <f>[1]anual!$L115</f>
        <v>3.2459610352057102</v>
      </c>
      <c r="R116" s="6">
        <f t="shared" si="12"/>
        <v>3.2459610352057102</v>
      </c>
      <c r="S116" s="6">
        <f>[1]anual!$N115</f>
        <v>-0.25158341739426099</v>
      </c>
    </row>
    <row r="117" spans="1:19" x14ac:dyDescent="0.35">
      <c r="A117">
        <v>2015</v>
      </c>
      <c r="B117" s="7">
        <f>[1]anual!$B116</f>
        <v>482506.00001308898</v>
      </c>
      <c r="C117" s="7">
        <f>[1]anual!$C116</f>
        <v>310911.57568297302</v>
      </c>
      <c r="D117" s="7">
        <f>[1]anual!$G116</f>
        <v>98827.406629982099</v>
      </c>
      <c r="E117" s="5">
        <f t="shared" ref="E117:E127" si="13">LN(B117)</f>
        <v>13.086748634944149</v>
      </c>
      <c r="F117" s="5">
        <f t="shared" ref="F117:F127" si="14">LN(C117)</f>
        <v>12.64726382817126</v>
      </c>
      <c r="G117" s="5">
        <f t="shared" ref="G117:G127" si="15">LN(D117)</f>
        <v>11.501130240309374</v>
      </c>
      <c r="H117" s="6">
        <f t="shared" si="8"/>
        <v>3.252244756750116</v>
      </c>
      <c r="I117" s="6">
        <f t="shared" si="9"/>
        <v>4.0184047136833527</v>
      </c>
      <c r="J117" s="6">
        <f t="shared" si="10"/>
        <v>-3.6922177207873119</v>
      </c>
      <c r="K117" s="6">
        <f>100*[1]anual!$M116/[1]anual!$M115-100</f>
        <v>-3.552427265713348</v>
      </c>
      <c r="L117" s="6">
        <f t="shared" ref="L117:L127" si="16">100*C117/B117</f>
        <v>64.436830977135813</v>
      </c>
      <c r="M117" s="6">
        <f t="shared" ref="M117:M127" si="17">100*D117/B117</f>
        <v>20.482109368028834</v>
      </c>
      <c r="N117" s="6">
        <f>100*([1]anual!$D116+[1]anual!$H116)/B117</f>
        <v>17.580303584212221</v>
      </c>
      <c r="O117" s="6">
        <f>100*([1]anual!$J116-[1]anual!$K116)/B117</f>
        <v>-2.4885484961949231</v>
      </c>
      <c r="P117" s="6">
        <f>[1]anual!$L116</f>
        <v>3.5478487642526901</v>
      </c>
      <c r="R117" s="6">
        <f t="shared" si="12"/>
        <v>3.5478487642526901</v>
      </c>
      <c r="S117" s="6">
        <f>[1]anual!$N116</f>
        <v>-1.9160982144965899</v>
      </c>
    </row>
    <row r="118" spans="1:19" x14ac:dyDescent="0.35">
      <c r="A118">
        <v>2016</v>
      </c>
      <c r="B118" s="7">
        <f>[1]anual!$B117</f>
        <v>501581.00001449097</v>
      </c>
      <c r="C118" s="7">
        <f>[1]anual!$C117</f>
        <v>322549.04905794398</v>
      </c>
      <c r="D118" s="7">
        <f>[1]anual!$G117</f>
        <v>94560.436872809805</v>
      </c>
      <c r="E118" s="5">
        <f t="shared" si="13"/>
        <v>13.125520388824441</v>
      </c>
      <c r="F118" s="5">
        <f t="shared" si="14"/>
        <v>12.684010493755588</v>
      </c>
      <c r="G118" s="5">
        <f t="shared" si="15"/>
        <v>11.456994452688578</v>
      </c>
      <c r="H118" s="6">
        <f t="shared" ref="H118:H127" si="18">100*B118/B117-100</f>
        <v>3.9533187153910205</v>
      </c>
      <c r="I118" s="6">
        <f t="shared" ref="I118:I127" si="19">100*C118/C117-100</f>
        <v>3.7430170778965532</v>
      </c>
      <c r="J118" s="6">
        <f t="shared" ref="J118:J127" si="20">100*D118/D117-100</f>
        <v>-4.3175976206156861</v>
      </c>
      <c r="K118" s="6">
        <f>100*[1]anual!$M117/[1]anual!$M116-100</f>
        <v>3.4008543868452961</v>
      </c>
      <c r="L118" s="6">
        <f t="shared" si="16"/>
        <v>64.306472742911978</v>
      </c>
      <c r="M118" s="6">
        <f t="shared" si="17"/>
        <v>18.852475845392448</v>
      </c>
      <c r="N118" s="6">
        <f>100*([1]anual!$D117+[1]anual!$H117)/B118</f>
        <v>17.159758938023487</v>
      </c>
      <c r="O118" s="6">
        <f>100*([1]anual!$J117-[1]anual!$K117)/B118</f>
        <v>-0.52706470284752305</v>
      </c>
      <c r="P118" s="6">
        <f>[1]anual!$L117</f>
        <v>3.5930838949936299</v>
      </c>
      <c r="R118" s="6">
        <f t="shared" si="12"/>
        <v>3.5930838949936299</v>
      </c>
      <c r="S118" s="6">
        <f>[1]anual!$N117</f>
        <v>-2.3167849901890198</v>
      </c>
    </row>
    <row r="119" spans="1:19" x14ac:dyDescent="0.35">
      <c r="A119">
        <v>2017</v>
      </c>
      <c r="B119" s="7">
        <f>[1]anual!$B118</f>
        <v>514215.00007192302</v>
      </c>
      <c r="C119" s="7">
        <f>[1]anual!$C118</f>
        <v>331078.484093823</v>
      </c>
      <c r="D119" s="7">
        <f>[1]anual!$G118</f>
        <v>94418.879956027406</v>
      </c>
      <c r="E119" s="5">
        <f t="shared" si="13"/>
        <v>13.150396745056902</v>
      </c>
      <c r="F119" s="5">
        <f t="shared" si="14"/>
        <v>12.710110738318507</v>
      </c>
      <c r="G119" s="5">
        <f t="shared" si="15"/>
        <v>11.45549633167054</v>
      </c>
      <c r="H119" s="6">
        <f t="shared" si="18"/>
        <v>2.5188354537087747</v>
      </c>
      <c r="I119" s="6">
        <f t="shared" si="19"/>
        <v>2.6443838730235285</v>
      </c>
      <c r="J119" s="6">
        <f t="shared" si="20"/>
        <v>-0.1496999394924643</v>
      </c>
      <c r="K119" s="6">
        <f>100*[1]anual!$M118/[1]anual!$M117-100</f>
        <v>7.3237737657384372</v>
      </c>
      <c r="L119" s="6">
        <f t="shared" si="16"/>
        <v>64.385224866547105</v>
      </c>
      <c r="M119" s="6">
        <f t="shared" si="17"/>
        <v>18.361751396365541</v>
      </c>
      <c r="N119" s="6">
        <f>100*([1]anual!$D118+[1]anual!$H118)/B119</f>
        <v>17.008359756273968</v>
      </c>
      <c r="O119" s="6">
        <f>100*([1]anual!$J118-[1]anual!$K118)/B119</f>
        <v>0.31284727551704578</v>
      </c>
      <c r="P119" s="6">
        <f>[1]anual!$L118</f>
        <v>2.80383182342791</v>
      </c>
      <c r="R119" s="6">
        <f t="shared" si="12"/>
        <v>2.80383182342791</v>
      </c>
      <c r="S119" s="6">
        <f>[1]anual!$N118</f>
        <v>-2.94758396083343</v>
      </c>
    </row>
    <row r="120" spans="1:19" x14ac:dyDescent="0.35">
      <c r="A120">
        <v>2018</v>
      </c>
      <c r="B120" s="7">
        <f>[1]anual!$B119</f>
        <v>534626.00004463096</v>
      </c>
      <c r="C120" s="7">
        <f>[1]anual!$C119</f>
        <v>343759.91996311297</v>
      </c>
      <c r="D120" s="7">
        <f>[1]anual!$G119</f>
        <v>97850.461157816302</v>
      </c>
      <c r="E120" s="5">
        <f t="shared" si="13"/>
        <v>13.189322716080897</v>
      </c>
      <c r="F120" s="5">
        <f t="shared" si="14"/>
        <v>12.747698785621042</v>
      </c>
      <c r="G120" s="5">
        <f t="shared" si="15"/>
        <v>11.49119568571875</v>
      </c>
      <c r="H120" s="6">
        <f t="shared" si="18"/>
        <v>3.9693513355022958</v>
      </c>
      <c r="I120" s="6">
        <f t="shared" si="19"/>
        <v>3.8303412872025433</v>
      </c>
      <c r="J120" s="6">
        <f t="shared" si="20"/>
        <v>3.6344226953200831</v>
      </c>
      <c r="K120" s="6">
        <f>100*[1]anual!$M119/[1]anual!$M118-100</f>
        <v>-2.4050379483396966</v>
      </c>
      <c r="L120" s="6">
        <f t="shared" si="16"/>
        <v>64.299139947255782</v>
      </c>
      <c r="M120" s="6">
        <f t="shared" si="17"/>
        <v>18.302600537506159</v>
      </c>
      <c r="N120" s="6">
        <f>100*([1]anual!$D119+[1]anual!$H119)/B120</f>
        <v>16.885592451760164</v>
      </c>
      <c r="O120" s="6">
        <f>100*([1]anual!$J119-[1]anual!$K119)/B120</f>
        <v>0.70122823654199928</v>
      </c>
      <c r="P120" s="6">
        <f>[1]anual!$L119</f>
        <v>1.3167105478321199</v>
      </c>
      <c r="R120" s="6">
        <f t="shared" si="12"/>
        <v>1.3167105478321199</v>
      </c>
      <c r="S120" s="6">
        <f>[1]anual!$N119</f>
        <v>-2.26351327831722</v>
      </c>
    </row>
    <row r="121" spans="1:19" x14ac:dyDescent="0.35">
      <c r="A121">
        <v>2019</v>
      </c>
      <c r="B121" s="7">
        <f>[1]anual!$B120</f>
        <v>546605.00005276897</v>
      </c>
      <c r="C121" s="7">
        <f>[1]anual!$C120</f>
        <v>354912.868779685</v>
      </c>
      <c r="D121" s="7">
        <f>[1]anual!$G120</f>
        <v>102879.450769307</v>
      </c>
      <c r="E121" s="5">
        <f t="shared" si="13"/>
        <v>13.211481699987813</v>
      </c>
      <c r="F121" s="5">
        <f t="shared" si="14"/>
        <v>12.779627598274987</v>
      </c>
      <c r="G121" s="5">
        <f t="shared" si="15"/>
        <v>11.541313200900694</v>
      </c>
      <c r="H121" s="6">
        <f t="shared" si="18"/>
        <v>2.2406317700856277</v>
      </c>
      <c r="I121" s="6">
        <f t="shared" si="19"/>
        <v>3.2444005740310757</v>
      </c>
      <c r="J121" s="6">
        <f t="shared" si="20"/>
        <v>5.1394643949401342</v>
      </c>
      <c r="K121" s="6">
        <f>100*[1]anual!$M120/[1]anual!$M119-100</f>
        <v>1.1675966771896924</v>
      </c>
      <c r="L121" s="6">
        <f t="shared" si="16"/>
        <v>64.930410213119501</v>
      </c>
      <c r="M121" s="6">
        <f t="shared" si="17"/>
        <v>18.821534885223347</v>
      </c>
      <c r="N121" s="6">
        <f>100*([1]anual!$D120+[1]anual!$H120)/B121</f>
        <v>16.961830641903681</v>
      </c>
      <c r="O121" s="6">
        <f>100*([1]anual!$J120-[1]anual!$K120)/B121</f>
        <v>0.16242845062618788</v>
      </c>
      <c r="P121" s="6">
        <f>[1]anual!$L120</f>
        <v>2.1358458196351502</v>
      </c>
      <c r="R121" s="6">
        <f t="shared" si="12"/>
        <v>2.1358458196351502</v>
      </c>
      <c r="S121" s="6">
        <f>[1]anual!$N120</f>
        <v>-1.59167833281131</v>
      </c>
    </row>
    <row r="122" spans="1:19" x14ac:dyDescent="0.35">
      <c r="A122">
        <v>2020</v>
      </c>
      <c r="B122" s="7">
        <f>[1]anual!$B121</f>
        <v>486843.00009303202</v>
      </c>
      <c r="C122" s="7">
        <f>[1]anual!$C121</f>
        <v>319919</v>
      </c>
      <c r="D122" s="7">
        <f>[1]anual!$G121</f>
        <v>86035.962098133896</v>
      </c>
      <c r="E122" s="5">
        <f t="shared" si="13"/>
        <v>13.09569696834941</v>
      </c>
      <c r="F122" s="5">
        <f t="shared" si="14"/>
        <v>12.675823117734369</v>
      </c>
      <c r="G122" s="5">
        <f t="shared" si="15"/>
        <v>11.362520651761264</v>
      </c>
      <c r="H122" s="6">
        <f t="shared" si="18"/>
        <v>-10.933306492616708</v>
      </c>
      <c r="I122" s="6">
        <f t="shared" si="19"/>
        <v>-9.8598478268782372</v>
      </c>
      <c r="J122" s="6">
        <f t="shared" si="20"/>
        <v>-16.372063172209494</v>
      </c>
      <c r="K122" s="6">
        <f>100*[1]anual!$M121/[1]anual!$M120-100</f>
        <v>11.18012259968512</v>
      </c>
      <c r="L122" s="6">
        <f t="shared" si="16"/>
        <v>65.712971109549869</v>
      </c>
      <c r="M122" s="6">
        <f t="shared" si="17"/>
        <v>17.672219192161144</v>
      </c>
      <c r="N122" s="6">
        <f>100*([1]anual!$D121+[1]anual!$H121)/B122</f>
        <v>19.414096756929435</v>
      </c>
      <c r="O122" s="6">
        <f>100*([1]anual!$J121-[1]anual!$K121)/B122</f>
        <v>-1.7021287478641931</v>
      </c>
      <c r="P122" s="6">
        <f>[1]anual!$L121</f>
        <v>1.82730265249896</v>
      </c>
      <c r="R122" s="6">
        <f t="shared" si="12"/>
        <v>1.82730265249896</v>
      </c>
      <c r="S122" s="6">
        <f>[1]anual!$N121</f>
        <v>-8.7109468474185796</v>
      </c>
    </row>
    <row r="123" spans="1:19" x14ac:dyDescent="0.35">
      <c r="A123">
        <v>2021</v>
      </c>
      <c r="B123" s="7">
        <f>[1]anual!$B122</f>
        <v>552161.00004012405</v>
      </c>
      <c r="C123" s="7">
        <f>[1]anual!$C122</f>
        <v>360044</v>
      </c>
      <c r="D123" s="7">
        <f>[1]anual!$G122</f>
        <v>116349.593526415</v>
      </c>
      <c r="E123" s="5">
        <f t="shared" si="13"/>
        <v>13.221594949472113</v>
      </c>
      <c r="F123" s="5">
        <f t="shared" si="14"/>
        <v>12.793981525185988</v>
      </c>
      <c r="G123" s="5">
        <f t="shared" si="15"/>
        <v>11.664354675182565</v>
      </c>
      <c r="H123" s="6">
        <f t="shared" si="18"/>
        <v>13.416645599219919</v>
      </c>
      <c r="I123" s="6">
        <f t="shared" si="19"/>
        <v>12.542237253804871</v>
      </c>
      <c r="J123" s="6">
        <f t="shared" si="20"/>
        <v>35.233675185389245</v>
      </c>
      <c r="K123" s="6">
        <f>100*[1]anual!$M122/[1]anual!$M121-100</f>
        <v>9.1594431453103198</v>
      </c>
      <c r="L123" s="6">
        <f t="shared" si="16"/>
        <v>65.206343797159988</v>
      </c>
      <c r="M123" s="6">
        <f t="shared" si="17"/>
        <v>21.07167900629711</v>
      </c>
      <c r="N123" s="6">
        <f>100*([1]anual!$D122+[1]anual!$H122)/B123</f>
        <v>18.667605478537567</v>
      </c>
      <c r="O123" s="6">
        <f>100*([1]anual!$J122-[1]anual!$K122)/B123</f>
        <v>-2.2548078677801011</v>
      </c>
      <c r="P123" s="6">
        <f>[1]anual!$L122</f>
        <v>3.9790147813012702</v>
      </c>
      <c r="R123" s="6">
        <f t="shared" si="12"/>
        <v>3.9790147813012702</v>
      </c>
      <c r="S123" s="6">
        <f>[1]anual!$N122</f>
        <v>-2.4842464208306301</v>
      </c>
    </row>
    <row r="124" spans="1:19" x14ac:dyDescent="0.35">
      <c r="A124">
        <v>2022</v>
      </c>
      <c r="B124" s="7">
        <f>[1]anual!$B123</f>
        <v>567722.00007257506</v>
      </c>
      <c r="C124" s="7">
        <f>[1]anual!$C123</f>
        <v>372821</v>
      </c>
      <c r="D124" s="7">
        <f>[1]anual!$G123</f>
        <v>116365.879460494</v>
      </c>
      <c r="E124" s="5">
        <f t="shared" si="13"/>
        <v>13.249387141398207</v>
      </c>
      <c r="F124" s="5">
        <f t="shared" si="14"/>
        <v>12.828853690679175</v>
      </c>
      <c r="G124" s="5">
        <f t="shared" si="15"/>
        <v>11.664494639525259</v>
      </c>
      <c r="H124" s="6">
        <f t="shared" si="18"/>
        <v>2.8181997698715122</v>
      </c>
      <c r="I124" s="6">
        <f t="shared" si="19"/>
        <v>3.5487329326415704</v>
      </c>
      <c r="J124" s="6">
        <f t="shared" si="20"/>
        <v>1.3997413815886262E-2</v>
      </c>
      <c r="K124" s="6">
        <f>100*[1]anual!$M123/[1]anual!$M122-100</f>
        <v>-9.9895365784032748</v>
      </c>
      <c r="L124" s="6">
        <f t="shared" si="16"/>
        <v>65.669641118776482</v>
      </c>
      <c r="M124" s="6">
        <f t="shared" si="17"/>
        <v>20.496982580491562</v>
      </c>
      <c r="N124" s="6">
        <f>100*([1]anual!$D123+[1]anual!$H123)/B124</f>
        <v>18.403103024802533</v>
      </c>
      <c r="O124" s="6">
        <f>100*([1]anual!$J123-[1]anual!$K123)/B124</f>
        <v>-1.8445864887968584</v>
      </c>
      <c r="P124" s="6">
        <f>[1]anual!$L123</f>
        <v>7.8772358191569696</v>
      </c>
      <c r="R124" s="6">
        <f t="shared" si="12"/>
        <v>7.8772358191569696</v>
      </c>
      <c r="S124" s="6">
        <f>[1]anual!$N123</f>
        <v>-1.6766622540252001</v>
      </c>
    </row>
    <row r="125" spans="1:19" x14ac:dyDescent="0.35">
      <c r="A125">
        <v>2023</v>
      </c>
      <c r="B125" s="7">
        <f>[1]anual!$B124</f>
        <v>565731.00007865694</v>
      </c>
      <c r="C125" s="7">
        <f>[1]anual!$C124</f>
        <v>373033.99999999901</v>
      </c>
      <c r="D125" s="7">
        <f>[1]anual!$G124</f>
        <v>109280.691254295</v>
      </c>
      <c r="E125" s="5">
        <f t="shared" si="13"/>
        <v>13.245873979332472</v>
      </c>
      <c r="F125" s="5">
        <f t="shared" si="14"/>
        <v>12.829424847286798</v>
      </c>
      <c r="G125" s="5">
        <f t="shared" si="15"/>
        <v>11.601675000318057</v>
      </c>
      <c r="H125" s="6">
        <f t="shared" si="18"/>
        <v>-0.35069981322963883</v>
      </c>
      <c r="I125" s="6">
        <f t="shared" si="19"/>
        <v>5.7131974861675872E-2</v>
      </c>
      <c r="J125" s="6">
        <f t="shared" si="20"/>
        <v>-6.088716244871776</v>
      </c>
      <c r="K125" s="6">
        <f>100*[1]anual!$M124/[1]anual!$M123-100</f>
        <v>7.5584609983669537</v>
      </c>
      <c r="L125" s="6">
        <f t="shared" si="16"/>
        <v>65.938405346027338</v>
      </c>
      <c r="M125" s="6">
        <f t="shared" si="17"/>
        <v>19.316723184534887</v>
      </c>
      <c r="N125" s="6">
        <f>100*([1]anual!$D124+[1]anual!$H124)/B125</f>
        <v>19.255003804956154</v>
      </c>
      <c r="O125" s="6">
        <f>100*([1]anual!$J124-[1]anual!$K124)/B125</f>
        <v>-1.0959530983262269</v>
      </c>
      <c r="P125" s="6">
        <f>[1]anual!$L124</f>
        <v>6.26434064219153</v>
      </c>
      <c r="R125" s="6">
        <f t="shared" si="12"/>
        <v>6.26434064219153</v>
      </c>
      <c r="S125" s="6">
        <f>[1]anual!$N124</f>
        <v>-2.7509179145971498</v>
      </c>
    </row>
    <row r="126" spans="1:19" x14ac:dyDescent="0.35">
      <c r="A126">
        <v>2024</v>
      </c>
      <c r="B126" s="7">
        <f>[1]anual!$B125</f>
        <v>585618.000023389</v>
      </c>
      <c r="C126" s="7">
        <f>[1]anual!$C125</f>
        <v>383362</v>
      </c>
      <c r="D126" s="7">
        <f>[1]anual!$G125</f>
        <v>112884.591876723</v>
      </c>
      <c r="E126" s="5">
        <f t="shared" si="13"/>
        <v>13.280422978901703</v>
      </c>
      <c r="F126" s="5">
        <f t="shared" si="14"/>
        <v>12.85673499148394</v>
      </c>
      <c r="G126" s="5">
        <f t="shared" si="15"/>
        <v>11.634121264975743</v>
      </c>
      <c r="H126" s="6">
        <f t="shared" si="18"/>
        <v>3.5152749172251561</v>
      </c>
      <c r="I126" s="6">
        <f t="shared" si="19"/>
        <v>2.7686484341912632</v>
      </c>
      <c r="J126" s="6">
        <f t="shared" si="20"/>
        <v>3.2978384205511304</v>
      </c>
      <c r="K126" s="6">
        <f>100*[1]anual!$M125/[1]anual!$M124-100</f>
        <v>12.241698583719696</v>
      </c>
      <c r="L126" s="6">
        <f t="shared" si="16"/>
        <v>65.462810225213175</v>
      </c>
      <c r="M126" s="6">
        <f t="shared" si="17"/>
        <v>19.276147910790737</v>
      </c>
      <c r="N126" s="6">
        <f>100*([1]anual!$D125+[1]anual!$H125)/B126</f>
        <v>19.605076683414303</v>
      </c>
      <c r="O126" s="6">
        <f>100*([1]anual!$J125-[1]anual!$K125)/B126</f>
        <v>-1.5776970895802331</v>
      </c>
      <c r="P126" s="6">
        <f>[1]anual!$L125</f>
        <v>2.3506939187187998</v>
      </c>
      <c r="R126" s="6">
        <f t="shared" si="12"/>
        <v>2.3506939187187998</v>
      </c>
      <c r="S126" s="6">
        <f>[1]anual!$N125</f>
        <v>-3.4494744322199402</v>
      </c>
    </row>
    <row r="127" spans="1:19" x14ac:dyDescent="0.35">
      <c r="A127">
        <v>2025</v>
      </c>
      <c r="B127" s="7">
        <f>[1]anual!$B126</f>
        <v>605788.86403511104</v>
      </c>
      <c r="C127" s="7">
        <f>[1]anual!$C126</f>
        <v>397284.31289601198</v>
      </c>
      <c r="D127" s="7">
        <f>[1]anual!$G126</f>
        <v>124148.21748825601</v>
      </c>
      <c r="E127" s="5">
        <f t="shared" si="13"/>
        <v>13.314286795159886</v>
      </c>
      <c r="F127" s="5">
        <f t="shared" si="14"/>
        <v>12.892407456744314</v>
      </c>
      <c r="G127" s="5">
        <f t="shared" si="15"/>
        <v>11.729231433106747</v>
      </c>
      <c r="H127" s="6">
        <f t="shared" si="18"/>
        <v>3.444372271842127</v>
      </c>
      <c r="I127" s="6">
        <f t="shared" si="19"/>
        <v>3.63163612877959</v>
      </c>
      <c r="J127" s="6">
        <f t="shared" si="20"/>
        <v>9.9780009160449339</v>
      </c>
      <c r="K127" s="6">
        <f>100*[1]anual!$M126/[1]anual!$M125-100</f>
        <v>19.891061771385509</v>
      </c>
      <c r="L127" s="6">
        <f t="shared" si="16"/>
        <v>65.581316607527754</v>
      </c>
      <c r="M127" s="6">
        <f t="shared" si="17"/>
        <v>20.493644710025649</v>
      </c>
      <c r="N127" s="6">
        <f>100*([1]anual!$D126+[1]anual!$H126)/B127</f>
        <v>19.707542051894549</v>
      </c>
      <c r="O127" s="6">
        <f>100*([1]anual!$J126-[1]anual!$K126)/B127</f>
        <v>-3.7302448584971435</v>
      </c>
      <c r="P127" s="6">
        <f>[1]anual!$L126</f>
        <v>1.5010872514741</v>
      </c>
      <c r="R127" s="6">
        <f t="shared" si="12"/>
        <v>1.5010872514741</v>
      </c>
      <c r="S127" s="6">
        <f>[1]anual!$N126</f>
        <v>-2.1767174267198302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91"/>
  <sheetViews>
    <sheetView topLeftCell="A336" workbookViewId="0">
      <selection activeCell="C391" sqref="C391"/>
    </sheetView>
  </sheetViews>
  <sheetFormatPr defaultRowHeight="14.5" x14ac:dyDescent="0.35"/>
  <cols>
    <col min="1" max="1" width="14" customWidth="1"/>
    <col min="2" max="3" width="16" customWidth="1"/>
  </cols>
  <sheetData>
    <row r="1" spans="1:3" x14ac:dyDescent="0.35">
      <c r="A1" s="1" t="s">
        <v>21</v>
      </c>
      <c r="B1" s="1" t="s">
        <v>22</v>
      </c>
      <c r="C1" s="1" t="s">
        <v>23</v>
      </c>
    </row>
    <row r="2" spans="1:3" x14ac:dyDescent="0.35">
      <c r="A2" s="2">
        <v>34304</v>
      </c>
      <c r="B2" s="5">
        <f>[1]mensual!$E38</f>
        <v>2.1631818181818199</v>
      </c>
    </row>
    <row r="3" spans="1:3" x14ac:dyDescent="0.35">
      <c r="A3" s="2">
        <v>34335</v>
      </c>
      <c r="B3" s="5">
        <f>[1]mensual!$E39</f>
        <v>2.1752380952380999</v>
      </c>
      <c r="C3" s="5">
        <f>100*B3/B2-100</f>
        <v>0.55733997738633434</v>
      </c>
    </row>
    <row r="4" spans="1:3" x14ac:dyDescent="0.35">
      <c r="A4" s="2">
        <v>34366</v>
      </c>
      <c r="B4" s="5">
        <f>[1]mensual!$E40</f>
        <v>2.177</v>
      </c>
      <c r="C4" s="5">
        <f t="shared" ref="C4:C67" si="0">100*B4/B3-100</f>
        <v>8.0998248686313445E-2</v>
      </c>
    </row>
    <row r="5" spans="1:3" x14ac:dyDescent="0.35">
      <c r="A5" s="2">
        <v>34394</v>
      </c>
      <c r="B5" s="5">
        <f>[1]mensual!$E41</f>
        <v>2.1731818181818201</v>
      </c>
      <c r="C5" s="5">
        <f t="shared" si="0"/>
        <v>-0.17538731365088722</v>
      </c>
    </row>
    <row r="6" spans="1:3" x14ac:dyDescent="0.35">
      <c r="A6" s="2">
        <v>34425</v>
      </c>
      <c r="B6" s="5">
        <f>[1]mensual!$E42</f>
        <v>2.1815000000000002</v>
      </c>
      <c r="C6" s="5">
        <f t="shared" si="0"/>
        <v>0.38276511190120743</v>
      </c>
    </row>
    <row r="7" spans="1:3" x14ac:dyDescent="0.35">
      <c r="A7" s="2">
        <v>34455</v>
      </c>
      <c r="B7" s="5">
        <f>[1]mensual!$E43</f>
        <v>2.1886363636363599</v>
      </c>
      <c r="C7" s="5">
        <f t="shared" si="0"/>
        <v>0.32713103994315418</v>
      </c>
    </row>
    <row r="8" spans="1:3" x14ac:dyDescent="0.35">
      <c r="A8" s="2">
        <v>34486</v>
      </c>
      <c r="B8" s="5">
        <f>[1]mensual!$E44</f>
        <v>2.1904761904761898</v>
      </c>
      <c r="C8" s="5">
        <f t="shared" si="0"/>
        <v>8.4062700885269237E-2</v>
      </c>
    </row>
    <row r="9" spans="1:3" x14ac:dyDescent="0.35">
      <c r="A9" s="2">
        <v>34516</v>
      </c>
      <c r="B9" s="5">
        <f>[1]mensual!$E45</f>
        <v>2.2000000000000002</v>
      </c>
      <c r="C9" s="5">
        <f t="shared" si="0"/>
        <v>0.43478260869569851</v>
      </c>
    </row>
    <row r="10" spans="1:3" x14ac:dyDescent="0.35">
      <c r="A10" s="2">
        <v>34547</v>
      </c>
      <c r="B10" s="5">
        <f>[1]mensual!$E46</f>
        <v>2.2331818181818202</v>
      </c>
      <c r="C10" s="5">
        <f t="shared" si="0"/>
        <v>1.5082644628100041</v>
      </c>
    </row>
    <row r="11" spans="1:3" x14ac:dyDescent="0.35">
      <c r="A11" s="2">
        <v>34578</v>
      </c>
      <c r="B11" s="5">
        <f>[1]mensual!$E47</f>
        <v>2.2590909090909101</v>
      </c>
      <c r="C11" s="5">
        <f t="shared" si="0"/>
        <v>1.160187258294286</v>
      </c>
    </row>
    <row r="12" spans="1:3" x14ac:dyDescent="0.35">
      <c r="A12" s="2">
        <v>34608</v>
      </c>
      <c r="B12" s="5">
        <f>[1]mensual!$E48</f>
        <v>2.2376190476190501</v>
      </c>
      <c r="C12" s="5">
        <f t="shared" si="0"/>
        <v>-0.95046469291935409</v>
      </c>
    </row>
    <row r="13" spans="1:3" x14ac:dyDescent="0.35">
      <c r="A13" s="2">
        <v>34639</v>
      </c>
      <c r="B13" s="5">
        <f>[1]mensual!$E49</f>
        <v>2.19619047619048</v>
      </c>
      <c r="C13" s="5">
        <f t="shared" si="0"/>
        <v>-1.8514577569695092</v>
      </c>
    </row>
    <row r="14" spans="1:3" x14ac:dyDescent="0.35">
      <c r="A14" s="2">
        <v>34669</v>
      </c>
      <c r="B14" s="5">
        <f>[1]mensual!$E50</f>
        <v>2.1447619047619</v>
      </c>
      <c r="C14" s="5">
        <f t="shared" si="0"/>
        <v>-2.341717259323886</v>
      </c>
    </row>
    <row r="15" spans="1:3" x14ac:dyDescent="0.35">
      <c r="A15" s="2">
        <v>34700</v>
      </c>
      <c r="B15" s="5">
        <f>[1]mensual!$E51</f>
        <v>2.1940909090909102</v>
      </c>
      <c r="C15" s="5">
        <f t="shared" si="0"/>
        <v>2.299975779105722</v>
      </c>
    </row>
    <row r="16" spans="1:3" x14ac:dyDescent="0.35">
      <c r="A16" s="2">
        <v>34731</v>
      </c>
      <c r="B16" s="5">
        <f>[1]mensual!$E52</f>
        <v>2.2164999999999999</v>
      </c>
      <c r="C16" s="5">
        <f t="shared" si="0"/>
        <v>1.0213383053655889</v>
      </c>
    </row>
    <row r="17" spans="1:3" x14ac:dyDescent="0.35">
      <c r="A17" s="2">
        <v>34759</v>
      </c>
      <c r="B17" s="5">
        <f>[1]mensual!$E53</f>
        <v>2.2582608695652202</v>
      </c>
      <c r="C17" s="5">
        <f t="shared" si="0"/>
        <v>1.8840906638944404</v>
      </c>
    </row>
    <row r="18" spans="1:3" x14ac:dyDescent="0.35">
      <c r="A18" s="2">
        <v>34790</v>
      </c>
      <c r="B18" s="5">
        <f>[1]mensual!$E54</f>
        <v>2.2627777777777802</v>
      </c>
      <c r="C18" s="5">
        <f t="shared" si="0"/>
        <v>0.20001711376373521</v>
      </c>
    </row>
    <row r="19" spans="1:3" x14ac:dyDescent="0.35">
      <c r="A19" s="2">
        <v>34820</v>
      </c>
      <c r="B19" s="5">
        <f>[1]mensual!$E55</f>
        <v>2.2536363636363599</v>
      </c>
      <c r="C19" s="5">
        <f t="shared" si="0"/>
        <v>-0.40399080418750088</v>
      </c>
    </row>
    <row r="20" spans="1:3" x14ac:dyDescent="0.35">
      <c r="A20" s="2">
        <v>34851</v>
      </c>
      <c r="B20" s="5">
        <f>[1]mensual!$E56</f>
        <v>2.2466666666666701</v>
      </c>
      <c r="C20" s="5">
        <f t="shared" si="0"/>
        <v>-0.3092644883686404</v>
      </c>
    </row>
    <row r="21" spans="1:3" x14ac:dyDescent="0.35">
      <c r="A21" s="2">
        <v>34881</v>
      </c>
      <c r="B21" s="5">
        <f>[1]mensual!$E57</f>
        <v>2.2349999999999999</v>
      </c>
      <c r="C21" s="5">
        <f t="shared" si="0"/>
        <v>-0.51928783382804511</v>
      </c>
    </row>
    <row r="22" spans="1:3" x14ac:dyDescent="0.35">
      <c r="A22" s="2">
        <v>34912</v>
      </c>
      <c r="B22" s="5">
        <f>[1]mensual!$E58</f>
        <v>2.2436363636363601</v>
      </c>
      <c r="C22" s="5">
        <f t="shared" si="0"/>
        <v>0.38641448037405723</v>
      </c>
    </row>
    <row r="23" spans="1:3" x14ac:dyDescent="0.35">
      <c r="A23" s="2">
        <v>34943</v>
      </c>
      <c r="B23" s="5">
        <f>[1]mensual!$E59</f>
        <v>2.2504761904761899</v>
      </c>
      <c r="C23" s="5">
        <f t="shared" si="0"/>
        <v>0.30485451879306424</v>
      </c>
    </row>
    <row r="24" spans="1:3" x14ac:dyDescent="0.35">
      <c r="A24" s="2">
        <v>34973</v>
      </c>
      <c r="B24" s="5">
        <f>[1]mensual!$E60</f>
        <v>2.2610909090909099</v>
      </c>
      <c r="C24" s="5">
        <f t="shared" si="0"/>
        <v>0.4716654483900129</v>
      </c>
    </row>
    <row r="25" spans="1:3" x14ac:dyDescent="0.35">
      <c r="A25" s="2">
        <v>35004</v>
      </c>
      <c r="B25" s="5">
        <f>[1]mensual!$E61</f>
        <v>2.31838095238095</v>
      </c>
      <c r="C25" s="5">
        <f t="shared" si="0"/>
        <v>2.5337346260471207</v>
      </c>
    </row>
    <row r="26" spans="1:3" x14ac:dyDescent="0.35">
      <c r="A26" s="2">
        <v>35034</v>
      </c>
      <c r="B26" s="5">
        <f>[1]mensual!$E62</f>
        <v>2.32926315789474</v>
      </c>
      <c r="C26" s="5">
        <f t="shared" si="0"/>
        <v>0.46938815221952268</v>
      </c>
    </row>
    <row r="27" spans="1:3" x14ac:dyDescent="0.35">
      <c r="A27" s="2">
        <v>35065</v>
      </c>
      <c r="B27" s="5">
        <f>[1]mensual!$E63</f>
        <v>2.35427272727273</v>
      </c>
      <c r="C27" s="5">
        <f t="shared" si="0"/>
        <v>1.0737116282126919</v>
      </c>
    </row>
    <row r="28" spans="1:3" x14ac:dyDescent="0.35">
      <c r="A28" s="2">
        <v>35096</v>
      </c>
      <c r="B28" s="5">
        <f>[1]mensual!$E64</f>
        <v>2.3589047619047601</v>
      </c>
      <c r="C28" s="5">
        <f t="shared" si="0"/>
        <v>0.19675012917453216</v>
      </c>
    </row>
    <row r="29" spans="1:3" x14ac:dyDescent="0.35">
      <c r="A29" s="2">
        <v>35125</v>
      </c>
      <c r="B29" s="5">
        <f>[1]mensual!$E65</f>
        <v>2.35980952380952</v>
      </c>
      <c r="C29" s="5">
        <f t="shared" si="0"/>
        <v>3.835516886360324E-2</v>
      </c>
    </row>
    <row r="30" spans="1:3" x14ac:dyDescent="0.35">
      <c r="A30" s="2">
        <v>35156</v>
      </c>
      <c r="B30" s="5">
        <f>[1]mensual!$E66</f>
        <v>2.3684500000000002</v>
      </c>
      <c r="C30" s="5">
        <f t="shared" si="0"/>
        <v>0.36615142465107908</v>
      </c>
    </row>
    <row r="31" spans="1:3" x14ac:dyDescent="0.35">
      <c r="A31" s="2">
        <v>35186</v>
      </c>
      <c r="B31" s="5">
        <f>[1]mensual!$E67</f>
        <v>2.4139545454545499</v>
      </c>
      <c r="C31" s="5">
        <f t="shared" si="0"/>
        <v>1.9212795479976137</v>
      </c>
    </row>
    <row r="32" spans="1:3" x14ac:dyDescent="0.35">
      <c r="A32" s="2">
        <v>35217</v>
      </c>
      <c r="B32" s="5">
        <f>[1]mensual!$E68</f>
        <v>2.44475</v>
      </c>
      <c r="C32" s="5">
        <f t="shared" si="0"/>
        <v>1.2757263637560072</v>
      </c>
    </row>
    <row r="33" spans="1:3" x14ac:dyDescent="0.35">
      <c r="A33" s="2">
        <v>35247</v>
      </c>
      <c r="B33" s="5">
        <f>[1]mensual!$E69</f>
        <v>2.4491818181818199</v>
      </c>
      <c r="C33" s="5">
        <f t="shared" si="0"/>
        <v>0.18127899301849482</v>
      </c>
    </row>
    <row r="34" spans="1:3" x14ac:dyDescent="0.35">
      <c r="A34" s="2">
        <v>35278</v>
      </c>
      <c r="B34" s="5">
        <f>[1]mensual!$E70</f>
        <v>2.4702857142857102</v>
      </c>
      <c r="C34" s="5">
        <f t="shared" si="0"/>
        <v>0.86167127108419095</v>
      </c>
    </row>
    <row r="35" spans="1:3" x14ac:dyDescent="0.35">
      <c r="A35" s="2">
        <v>35309</v>
      </c>
      <c r="B35" s="5">
        <f>[1]mensual!$E71</f>
        <v>2.4957619047619102</v>
      </c>
      <c r="C35" s="5">
        <f t="shared" si="0"/>
        <v>1.0313054206187786</v>
      </c>
    </row>
    <row r="36" spans="1:3" x14ac:dyDescent="0.35">
      <c r="A36" s="2">
        <v>35339</v>
      </c>
      <c r="B36" s="5">
        <f>[1]mensual!$E72</f>
        <v>2.56</v>
      </c>
      <c r="C36" s="5">
        <f t="shared" si="0"/>
        <v>2.5738871610919176</v>
      </c>
    </row>
    <row r="37" spans="1:3" x14ac:dyDescent="0.35">
      <c r="A37" s="2">
        <v>35370</v>
      </c>
      <c r="B37" s="5">
        <f>[1]mensual!$E73</f>
        <v>2.5886</v>
      </c>
      <c r="C37" s="5">
        <f t="shared" si="0"/>
        <v>1.1171875</v>
      </c>
    </row>
    <row r="38" spans="1:3" x14ac:dyDescent="0.35">
      <c r="A38" s="2">
        <v>35400</v>
      </c>
      <c r="B38" s="5">
        <f>[1]mensual!$E74</f>
        <v>2.5875238095238098</v>
      </c>
      <c r="C38" s="5">
        <f t="shared" si="0"/>
        <v>-4.1574228393344015E-2</v>
      </c>
    </row>
    <row r="39" spans="1:3" x14ac:dyDescent="0.35">
      <c r="A39" s="2">
        <v>35431</v>
      </c>
      <c r="B39" s="5">
        <f>[1]mensual!$E75</f>
        <v>2.6298636363636398</v>
      </c>
      <c r="C39" s="5">
        <f t="shared" si="0"/>
        <v>1.636306753352045</v>
      </c>
    </row>
    <row r="40" spans="1:3" x14ac:dyDescent="0.35">
      <c r="A40" s="2">
        <v>35462</v>
      </c>
      <c r="B40" s="5">
        <f>[1]mensual!$E76</f>
        <v>2.6424500000000002</v>
      </c>
      <c r="C40" s="5">
        <f t="shared" si="0"/>
        <v>0.47859377430548022</v>
      </c>
    </row>
    <row r="41" spans="1:3" x14ac:dyDescent="0.35">
      <c r="A41" s="2">
        <v>35490</v>
      </c>
      <c r="B41" s="5">
        <f>[1]mensual!$E77</f>
        <v>2.6371578947368399</v>
      </c>
      <c r="C41" s="5">
        <f t="shared" si="0"/>
        <v>-0.20027267358551626</v>
      </c>
    </row>
    <row r="42" spans="1:3" x14ac:dyDescent="0.35">
      <c r="A42" s="2">
        <v>35521</v>
      </c>
      <c r="B42" s="5">
        <f>[1]mensual!$E78</f>
        <v>2.6652272727272699</v>
      </c>
      <c r="C42" s="5">
        <f t="shared" si="0"/>
        <v>1.0643798782943463</v>
      </c>
    </row>
    <row r="43" spans="1:3" x14ac:dyDescent="0.35">
      <c r="A43" s="2">
        <v>35551</v>
      </c>
      <c r="B43" s="5">
        <f>[1]mensual!$E79</f>
        <v>2.6672857142857098</v>
      </c>
      <c r="C43" s="5">
        <f t="shared" si="0"/>
        <v>7.7233246841785785E-2</v>
      </c>
    </row>
    <row r="44" spans="1:3" x14ac:dyDescent="0.35">
      <c r="A44" s="2">
        <v>35582</v>
      </c>
      <c r="B44" s="5">
        <f>[1]mensual!$E80</f>
        <v>2.65880952380952</v>
      </c>
      <c r="C44" s="5">
        <f t="shared" si="0"/>
        <v>-0.31778337171725468</v>
      </c>
    </row>
    <row r="45" spans="1:3" x14ac:dyDescent="0.35">
      <c r="A45" s="2">
        <v>35612</v>
      </c>
      <c r="B45" s="5">
        <f>[1]mensual!$E81</f>
        <v>2.65452380952381</v>
      </c>
      <c r="C45" s="5">
        <f t="shared" si="0"/>
        <v>-0.16118921823212418</v>
      </c>
    </row>
    <row r="46" spans="1:3" x14ac:dyDescent="0.35">
      <c r="A46" s="2">
        <v>35643</v>
      </c>
      <c r="B46" s="5">
        <f>[1]mensual!$E82</f>
        <v>2.65647619047619</v>
      </c>
      <c r="C46" s="5">
        <f t="shared" si="0"/>
        <v>7.3549197237383623E-2</v>
      </c>
    </row>
    <row r="47" spans="1:3" x14ac:dyDescent="0.35">
      <c r="A47" s="2">
        <v>35674</v>
      </c>
      <c r="B47" s="5">
        <f>[1]mensual!$E83</f>
        <v>2.6471363636363598</v>
      </c>
      <c r="C47" s="5">
        <f t="shared" si="0"/>
        <v>-0.35158707137351541</v>
      </c>
    </row>
    <row r="48" spans="1:3" x14ac:dyDescent="0.35">
      <c r="A48" s="2">
        <v>35704</v>
      </c>
      <c r="B48" s="5">
        <f>[1]mensual!$E84</f>
        <v>2.6657272727272701</v>
      </c>
      <c r="C48" s="5">
        <f t="shared" si="0"/>
        <v>0.70230265982111462</v>
      </c>
    </row>
    <row r="49" spans="1:3" x14ac:dyDescent="0.35">
      <c r="A49" s="2">
        <v>35735</v>
      </c>
      <c r="B49" s="5">
        <f>[1]mensual!$E85</f>
        <v>2.7231999999999998</v>
      </c>
      <c r="C49" s="5">
        <f t="shared" si="0"/>
        <v>2.1559867680661284</v>
      </c>
    </row>
    <row r="50" spans="1:3" x14ac:dyDescent="0.35">
      <c r="A50" s="2">
        <v>35765</v>
      </c>
      <c r="B50" s="5">
        <f>[1]mensual!$E86</f>
        <v>2.72</v>
      </c>
      <c r="C50" s="5">
        <f t="shared" si="0"/>
        <v>-0.11750881316098116</v>
      </c>
    </row>
    <row r="51" spans="1:3" x14ac:dyDescent="0.35">
      <c r="A51" s="2">
        <v>35796</v>
      </c>
      <c r="B51" s="5">
        <f>[1]mensual!$E87</f>
        <v>2.7467142857142899</v>
      </c>
      <c r="C51" s="5">
        <f t="shared" si="0"/>
        <v>0.98214285714300331</v>
      </c>
    </row>
    <row r="52" spans="1:3" x14ac:dyDescent="0.35">
      <c r="A52" s="2">
        <v>35827</v>
      </c>
      <c r="B52" s="5">
        <f>[1]mensual!$E88</f>
        <v>2.80145</v>
      </c>
      <c r="C52" s="5">
        <f t="shared" si="0"/>
        <v>1.9927705830341154</v>
      </c>
    </row>
    <row r="53" spans="1:3" x14ac:dyDescent="0.35">
      <c r="A53" s="2">
        <v>35855</v>
      </c>
      <c r="B53" s="5">
        <f>[1]mensual!$E89</f>
        <v>2.8085909090909098</v>
      </c>
      <c r="C53" s="5">
        <f t="shared" si="0"/>
        <v>0.25490046550571321</v>
      </c>
    </row>
    <row r="54" spans="1:3" x14ac:dyDescent="0.35">
      <c r="A54" s="2">
        <v>35886</v>
      </c>
      <c r="B54" s="5">
        <f>[1]mensual!$E90</f>
        <v>2.8220000000000001</v>
      </c>
      <c r="C54" s="5">
        <f t="shared" si="0"/>
        <v>0.47743125799087238</v>
      </c>
    </row>
    <row r="55" spans="1:3" x14ac:dyDescent="0.35">
      <c r="A55" s="2">
        <v>35916</v>
      </c>
      <c r="B55" s="5">
        <f>[1]mensual!$E91</f>
        <v>2.8456000000000001</v>
      </c>
      <c r="C55" s="5">
        <f t="shared" si="0"/>
        <v>0.83628632175761197</v>
      </c>
    </row>
    <row r="56" spans="1:3" x14ac:dyDescent="0.35">
      <c r="A56" s="2">
        <v>35947</v>
      </c>
      <c r="B56" s="5">
        <f>[1]mensual!$E92</f>
        <v>2.90880952380952</v>
      </c>
      <c r="C56" s="5">
        <f t="shared" si="0"/>
        <v>2.2213074152909797</v>
      </c>
    </row>
    <row r="57" spans="1:3" x14ac:dyDescent="0.35">
      <c r="A57" s="2">
        <v>35977</v>
      </c>
      <c r="B57" s="5">
        <f>[1]mensual!$E93</f>
        <v>2.9223809523809501</v>
      </c>
      <c r="C57" s="5">
        <f t="shared" si="0"/>
        <v>0.46656298600316859</v>
      </c>
    </row>
    <row r="58" spans="1:3" x14ac:dyDescent="0.35">
      <c r="A58" s="2">
        <v>36008</v>
      </c>
      <c r="B58" s="5">
        <f>[1]mensual!$E94</f>
        <v>2.96390476190476</v>
      </c>
      <c r="C58" s="5">
        <f t="shared" si="0"/>
        <v>1.420889685514112</v>
      </c>
    </row>
    <row r="59" spans="1:3" x14ac:dyDescent="0.35">
      <c r="A59" s="2">
        <v>36039</v>
      </c>
      <c r="B59" s="5">
        <f>[1]mensual!$E95</f>
        <v>3.0450454545454502</v>
      </c>
      <c r="C59" s="5">
        <f t="shared" si="0"/>
        <v>2.7376282019448155</v>
      </c>
    </row>
    <row r="60" spans="1:3" x14ac:dyDescent="0.35">
      <c r="A60" s="2">
        <v>36069</v>
      </c>
      <c r="B60" s="5">
        <f>[1]mensual!$E96</f>
        <v>3.0528</v>
      </c>
      <c r="C60" s="5">
        <f t="shared" si="0"/>
        <v>0.25466107387572379</v>
      </c>
    </row>
    <row r="61" spans="1:3" x14ac:dyDescent="0.35">
      <c r="A61" s="2">
        <v>36100</v>
      </c>
      <c r="B61" s="5">
        <f>[1]mensual!$E97</f>
        <v>3.0962380952380899</v>
      </c>
      <c r="C61" s="5">
        <f t="shared" si="0"/>
        <v>1.4228935809122731</v>
      </c>
    </row>
    <row r="62" spans="1:3" x14ac:dyDescent="0.35">
      <c r="A62" s="2">
        <v>36130</v>
      </c>
      <c r="B62" s="5">
        <f>[1]mensual!$E98</f>
        <v>3.13904761904762</v>
      </c>
      <c r="C62" s="5">
        <f t="shared" si="0"/>
        <v>1.382630227157577</v>
      </c>
    </row>
    <row r="63" spans="1:3" x14ac:dyDescent="0.35">
      <c r="A63" s="2">
        <v>36161</v>
      </c>
      <c r="B63" s="5">
        <f>[1]mensual!$E99</f>
        <v>3.254</v>
      </c>
      <c r="C63" s="5">
        <f t="shared" si="0"/>
        <v>3.6620145631067516</v>
      </c>
    </row>
    <row r="64" spans="1:3" x14ac:dyDescent="0.35">
      <c r="A64" s="2">
        <v>36192</v>
      </c>
      <c r="B64" s="5">
        <f>[1]mensual!$E100</f>
        <v>3.3984999999999999</v>
      </c>
      <c r="C64" s="5">
        <f t="shared" si="0"/>
        <v>4.4406883835279558</v>
      </c>
    </row>
    <row r="65" spans="1:3" x14ac:dyDescent="0.35">
      <c r="A65" s="2">
        <v>36220</v>
      </c>
      <c r="B65" s="5">
        <f>[1]mensual!$E101</f>
        <v>3.3817826086956502</v>
      </c>
      <c r="C65" s="5">
        <f t="shared" si="0"/>
        <v>-0.49190499644990382</v>
      </c>
    </row>
    <row r="66" spans="1:3" x14ac:dyDescent="0.35">
      <c r="A66" s="2">
        <v>36251</v>
      </c>
      <c r="B66" s="5">
        <f>[1]mensual!$E102</f>
        <v>3.3516499999999998</v>
      </c>
      <c r="C66" s="5">
        <f t="shared" si="0"/>
        <v>-0.89102737172312629</v>
      </c>
    </row>
    <row r="67" spans="1:3" x14ac:dyDescent="0.35">
      <c r="A67" s="2">
        <v>36281</v>
      </c>
      <c r="B67" s="5">
        <f>[1]mensual!$E103</f>
        <v>3.33368181818182</v>
      </c>
      <c r="C67" s="5">
        <f t="shared" si="0"/>
        <v>-0.53609958731310314</v>
      </c>
    </row>
    <row r="68" spans="1:3" x14ac:dyDescent="0.35">
      <c r="A68" s="2">
        <v>36312</v>
      </c>
      <c r="B68" s="5">
        <f>[1]mensual!$E104</f>
        <v>3.34033333333333</v>
      </c>
      <c r="C68" s="5">
        <f t="shared" ref="C68:C131" si="1">100*B68/B67-100</f>
        <v>0.19952459515580756</v>
      </c>
    </row>
    <row r="69" spans="1:3" x14ac:dyDescent="0.35">
      <c r="A69" s="2">
        <v>36342</v>
      </c>
      <c r="B69" s="5">
        <f>[1]mensual!$E105</f>
        <v>3.3252000000000002</v>
      </c>
      <c r="C69" s="5">
        <f t="shared" si="1"/>
        <v>-0.45304859794420338</v>
      </c>
    </row>
    <row r="70" spans="1:3" x14ac:dyDescent="0.35">
      <c r="A70" s="2">
        <v>36373</v>
      </c>
      <c r="B70" s="5">
        <f>[1]mensual!$E106</f>
        <v>3.3643809523809498</v>
      </c>
      <c r="C70" s="5">
        <f t="shared" si="1"/>
        <v>1.1783036322912892</v>
      </c>
    </row>
    <row r="71" spans="1:3" x14ac:dyDescent="0.35">
      <c r="A71" s="2">
        <v>36404</v>
      </c>
      <c r="B71" s="5">
        <f>[1]mensual!$E107</f>
        <v>3.4206818181818202</v>
      </c>
      <c r="C71" s="5">
        <f t="shared" si="1"/>
        <v>1.6734390842697735</v>
      </c>
    </row>
    <row r="72" spans="1:3" x14ac:dyDescent="0.35">
      <c r="A72" s="2">
        <v>36434</v>
      </c>
      <c r="B72" s="5">
        <f>[1]mensual!$E108</f>
        <v>3.4742500000000001</v>
      </c>
      <c r="C72" s="5">
        <f t="shared" si="1"/>
        <v>1.5660089030628654</v>
      </c>
    </row>
    <row r="73" spans="1:3" x14ac:dyDescent="0.35">
      <c r="A73" s="2">
        <v>36465</v>
      </c>
      <c r="B73" s="5">
        <f>[1]mensual!$E109</f>
        <v>3.4836190476190501</v>
      </c>
      <c r="C73" s="5">
        <f t="shared" si="1"/>
        <v>0.26967108351587399</v>
      </c>
    </row>
    <row r="74" spans="1:3" x14ac:dyDescent="0.35">
      <c r="A74" s="2">
        <v>36495</v>
      </c>
      <c r="B74" s="5">
        <f>[1]mensual!$E110</f>
        <v>3.4858636363636402</v>
      </c>
      <c r="C74" s="5">
        <f t="shared" si="1"/>
        <v>6.4432669413847066E-2</v>
      </c>
    </row>
    <row r="75" spans="1:3" x14ac:dyDescent="0.35">
      <c r="A75" s="2">
        <v>36526</v>
      </c>
      <c r="B75" s="5">
        <f>[1]mensual!$E111</f>
        <v>3.5015714285714301</v>
      </c>
      <c r="C75" s="5">
        <f t="shared" si="1"/>
        <v>0.45061407577537693</v>
      </c>
    </row>
    <row r="76" spans="1:3" x14ac:dyDescent="0.35">
      <c r="A76" s="2">
        <v>36557</v>
      </c>
      <c r="B76" s="5">
        <f>[1]mensual!$E112</f>
        <v>3.4577142857142902</v>
      </c>
      <c r="C76" s="5">
        <f t="shared" si="1"/>
        <v>-1.2524988780546664</v>
      </c>
    </row>
    <row r="77" spans="1:3" x14ac:dyDescent="0.35">
      <c r="A77" s="2">
        <v>36586</v>
      </c>
      <c r="B77" s="5">
        <f>[1]mensual!$E113</f>
        <v>3.4449130434782602</v>
      </c>
      <c r="C77" s="5">
        <f t="shared" si="1"/>
        <v>-0.37022267250127072</v>
      </c>
    </row>
    <row r="78" spans="1:3" x14ac:dyDescent="0.35">
      <c r="A78" s="2">
        <v>36617</v>
      </c>
      <c r="B78" s="5">
        <f>[1]mensual!$E114</f>
        <v>3.4807222222222198</v>
      </c>
      <c r="C78" s="5">
        <f t="shared" si="1"/>
        <v>1.039479902453607</v>
      </c>
    </row>
    <row r="79" spans="1:3" x14ac:dyDescent="0.35">
      <c r="A79" s="2">
        <v>36647</v>
      </c>
      <c r="B79" s="5">
        <f>[1]mensual!$E115</f>
        <v>3.5051363636363599</v>
      </c>
      <c r="C79" s="5">
        <f t="shared" si="1"/>
        <v>0.70141022050744084</v>
      </c>
    </row>
    <row r="80" spans="1:3" x14ac:dyDescent="0.35">
      <c r="A80" s="2">
        <v>36678</v>
      </c>
      <c r="B80" s="5">
        <f>[1]mensual!$E116</f>
        <v>3.4887142857142899</v>
      </c>
      <c r="C80" s="5">
        <f t="shared" si="1"/>
        <v>-0.46851466586119273</v>
      </c>
    </row>
    <row r="81" spans="1:3" x14ac:dyDescent="0.35">
      <c r="A81" s="2">
        <v>36708</v>
      </c>
      <c r="B81" s="5">
        <f>[1]mensual!$E117</f>
        <v>3.4819499999999999</v>
      </c>
      <c r="C81" s="5">
        <f t="shared" si="1"/>
        <v>-0.19389050407448849</v>
      </c>
    </row>
    <row r="82" spans="1:3" x14ac:dyDescent="0.35">
      <c r="A82" s="2">
        <v>36739</v>
      </c>
      <c r="B82" s="5">
        <f>[1]mensual!$E118</f>
        <v>3.4790454545454601</v>
      </c>
      <c r="C82" s="5">
        <f t="shared" si="1"/>
        <v>-8.3417207442380459E-2</v>
      </c>
    </row>
    <row r="83" spans="1:3" x14ac:dyDescent="0.35">
      <c r="A83" s="2">
        <v>36770</v>
      </c>
      <c r="B83" s="5">
        <f>[1]mensual!$E119</f>
        <v>3.4862380952380998</v>
      </c>
      <c r="C83" s="5">
        <f t="shared" si="1"/>
        <v>0.20674178554472178</v>
      </c>
    </row>
    <row r="84" spans="1:3" x14ac:dyDescent="0.35">
      <c r="A84" s="2">
        <v>36800</v>
      </c>
      <c r="B84" s="5">
        <f>[1]mensual!$E120</f>
        <v>3.5017727272727299</v>
      </c>
      <c r="C84" s="5">
        <f t="shared" si="1"/>
        <v>0.44559871156963027</v>
      </c>
    </row>
    <row r="85" spans="1:3" x14ac:dyDescent="0.35">
      <c r="A85" s="2">
        <v>36831</v>
      </c>
      <c r="B85" s="5">
        <f>[1]mensual!$E121</f>
        <v>3.5299047619047599</v>
      </c>
      <c r="C85" s="5">
        <f t="shared" si="1"/>
        <v>0.80336551863946681</v>
      </c>
    </row>
    <row r="86" spans="1:3" x14ac:dyDescent="0.35">
      <c r="A86" s="2">
        <v>36861</v>
      </c>
      <c r="B86" s="5">
        <f>[1]mensual!$E122</f>
        <v>3.5211052631578901</v>
      </c>
      <c r="C86" s="5">
        <f t="shared" si="1"/>
        <v>-0.24928431049572453</v>
      </c>
    </row>
    <row r="87" spans="1:3" x14ac:dyDescent="0.35">
      <c r="A87" s="2">
        <v>36892</v>
      </c>
      <c r="B87" s="5">
        <f>[1]mensual!$E123</f>
        <v>3.52404545454546</v>
      </c>
      <c r="C87" s="5">
        <f t="shared" si="1"/>
        <v>8.3501945208340089E-2</v>
      </c>
    </row>
    <row r="88" spans="1:3" x14ac:dyDescent="0.35">
      <c r="A88" s="2">
        <v>36923</v>
      </c>
      <c r="B88" s="5">
        <f>[1]mensual!$E124</f>
        <v>3.52955</v>
      </c>
      <c r="C88" s="5">
        <f t="shared" si="1"/>
        <v>0.1561996156275427</v>
      </c>
    </row>
    <row r="89" spans="1:3" x14ac:dyDescent="0.35">
      <c r="A89" s="2">
        <v>36951</v>
      </c>
      <c r="B89" s="5">
        <f>[1]mensual!$E125</f>
        <v>3.5208181818181798</v>
      </c>
      <c r="C89" s="5">
        <f t="shared" si="1"/>
        <v>-0.24739182563840245</v>
      </c>
    </row>
    <row r="90" spans="1:3" x14ac:dyDescent="0.35">
      <c r="A90" s="2">
        <v>36982</v>
      </c>
      <c r="B90" s="5">
        <f>[1]mensual!$E126</f>
        <v>3.5603684210526301</v>
      </c>
      <c r="C90" s="5">
        <f t="shared" si="1"/>
        <v>1.1233252383974701</v>
      </c>
    </row>
    <row r="91" spans="1:3" x14ac:dyDescent="0.35">
      <c r="A91" s="2">
        <v>37012</v>
      </c>
      <c r="B91" s="5">
        <f>[1]mensual!$E127</f>
        <v>3.6016363636363602</v>
      </c>
      <c r="C91" s="5">
        <f t="shared" si="1"/>
        <v>1.1590919169968714</v>
      </c>
    </row>
    <row r="92" spans="1:3" x14ac:dyDescent="0.35">
      <c r="A92" s="2">
        <v>37043</v>
      </c>
      <c r="B92" s="5">
        <f>[1]mensual!$E128</f>
        <v>3.5329649999999999</v>
      </c>
      <c r="C92" s="5">
        <f t="shared" si="1"/>
        <v>-1.9066712100559471</v>
      </c>
    </row>
    <row r="93" spans="1:3" x14ac:dyDescent="0.35">
      <c r="A93" s="2">
        <v>37073</v>
      </c>
      <c r="B93" s="5">
        <f>[1]mensual!$E129</f>
        <v>3.5049523809523802</v>
      </c>
      <c r="C93" s="5">
        <f t="shared" si="1"/>
        <v>-0.79289262836229568</v>
      </c>
    </row>
    <row r="94" spans="1:3" x14ac:dyDescent="0.35">
      <c r="A94" s="2">
        <v>37104</v>
      </c>
      <c r="B94" s="5">
        <f>[1]mensual!$E130</f>
        <v>3.4932799999999999</v>
      </c>
      <c r="C94" s="5">
        <f t="shared" si="1"/>
        <v>-0.33302537905547069</v>
      </c>
    </row>
    <row r="95" spans="1:3" x14ac:dyDescent="0.35">
      <c r="A95" s="2">
        <v>37135</v>
      </c>
      <c r="B95" s="5">
        <f>[1]mensual!$E131</f>
        <v>3.4911500000000002</v>
      </c>
      <c r="C95" s="5">
        <f t="shared" si="1"/>
        <v>-6.0974213346767669E-2</v>
      </c>
    </row>
    <row r="96" spans="1:3" x14ac:dyDescent="0.35">
      <c r="A96" s="2">
        <v>37165</v>
      </c>
      <c r="B96" s="5">
        <f>[1]mensual!$E132</f>
        <v>3.4614090909090902</v>
      </c>
      <c r="C96" s="5">
        <f t="shared" si="1"/>
        <v>-0.85189433541698634</v>
      </c>
    </row>
    <row r="97" spans="1:3" x14ac:dyDescent="0.35">
      <c r="A97" s="2">
        <v>37196</v>
      </c>
      <c r="B97" s="5">
        <f>[1]mensual!$E133</f>
        <v>3.4407000000000001</v>
      </c>
      <c r="C97" s="5">
        <f t="shared" si="1"/>
        <v>-0.59828498640855798</v>
      </c>
    </row>
    <row r="98" spans="1:3" x14ac:dyDescent="0.35">
      <c r="A98" s="2">
        <v>37226</v>
      </c>
      <c r="B98" s="5">
        <f>[1]mensual!$E134</f>
        <v>3.4365749999999999</v>
      </c>
      <c r="C98" s="5">
        <f t="shared" si="1"/>
        <v>-0.11988839480339664</v>
      </c>
    </row>
    <row r="99" spans="1:3" x14ac:dyDescent="0.35">
      <c r="A99" s="2">
        <v>37257</v>
      </c>
      <c r="B99" s="5">
        <f>[1]mensual!$E135</f>
        <v>3.4609999999999999</v>
      </c>
      <c r="C99" s="5">
        <f t="shared" si="1"/>
        <v>0.71073670733214556</v>
      </c>
    </row>
    <row r="100" spans="1:3" x14ac:dyDescent="0.35">
      <c r="A100" s="2">
        <v>37288</v>
      </c>
      <c r="B100" s="5">
        <f>[1]mensual!$E136</f>
        <v>3.4777</v>
      </c>
      <c r="C100" s="5">
        <f t="shared" si="1"/>
        <v>0.48251950303379942</v>
      </c>
    </row>
    <row r="101" spans="1:3" x14ac:dyDescent="0.35">
      <c r="A101" s="2">
        <v>37316</v>
      </c>
      <c r="B101" s="5">
        <f>[1]mensual!$E137</f>
        <v>3.45705263157895</v>
      </c>
      <c r="C101" s="5">
        <f t="shared" si="1"/>
        <v>-0.59370757745205083</v>
      </c>
    </row>
    <row r="102" spans="1:3" x14ac:dyDescent="0.35">
      <c r="A102" s="2">
        <v>37347</v>
      </c>
      <c r="B102" s="5">
        <f>[1]mensual!$E138</f>
        <v>3.4397272727272701</v>
      </c>
      <c r="C102" s="5">
        <f t="shared" si="1"/>
        <v>-0.50115982306485307</v>
      </c>
    </row>
    <row r="103" spans="1:3" x14ac:dyDescent="0.35">
      <c r="A103" s="2">
        <v>37377</v>
      </c>
      <c r="B103" s="5">
        <f>[1]mensual!$E139</f>
        <v>3.4525454545454499</v>
      </c>
      <c r="C103" s="5">
        <f t="shared" si="1"/>
        <v>0.37265110870306728</v>
      </c>
    </row>
    <row r="104" spans="1:3" x14ac:dyDescent="0.35">
      <c r="A104" s="2">
        <v>37408</v>
      </c>
      <c r="B104" s="5">
        <f>[1]mensual!$E140</f>
        <v>3.4818947368420998</v>
      </c>
      <c r="C104" s="5">
        <f t="shared" si="1"/>
        <v>0.85007663716665149</v>
      </c>
    </row>
    <row r="105" spans="1:3" x14ac:dyDescent="0.35">
      <c r="A105" s="2">
        <v>37438</v>
      </c>
      <c r="B105" s="5">
        <f>[1]mensual!$E141</f>
        <v>3.53457142857143</v>
      </c>
      <c r="C105" s="5">
        <f t="shared" si="1"/>
        <v>1.512874331666481</v>
      </c>
    </row>
    <row r="106" spans="1:3" x14ac:dyDescent="0.35">
      <c r="A106" s="2">
        <v>37469</v>
      </c>
      <c r="B106" s="5">
        <f>[1]mensual!$E142</f>
        <v>3.57123809523809</v>
      </c>
      <c r="C106" s="5">
        <f t="shared" si="1"/>
        <v>1.0373723493113687</v>
      </c>
    </row>
    <row r="107" spans="1:3" x14ac:dyDescent="0.35">
      <c r="A107" s="2">
        <v>37500</v>
      </c>
      <c r="B107" s="5">
        <f>[1]mensual!$E143</f>
        <v>3.6201428571428602</v>
      </c>
      <c r="C107" s="5">
        <f t="shared" si="1"/>
        <v>1.3694063683398809</v>
      </c>
    </row>
    <row r="108" spans="1:3" x14ac:dyDescent="0.35">
      <c r="A108" s="2">
        <v>37530</v>
      </c>
      <c r="B108" s="5">
        <f>[1]mensual!$E144</f>
        <v>3.6164190476190501</v>
      </c>
      <c r="C108" s="5">
        <f t="shared" si="1"/>
        <v>-0.10286360706631115</v>
      </c>
    </row>
    <row r="109" spans="1:3" x14ac:dyDescent="0.35">
      <c r="A109" s="2">
        <v>37561</v>
      </c>
      <c r="B109" s="5">
        <f>[1]mensual!$E145</f>
        <v>3.5843500000000001</v>
      </c>
      <c r="C109" s="5">
        <f t="shared" si="1"/>
        <v>-0.88676249065116508</v>
      </c>
    </row>
    <row r="110" spans="1:3" x14ac:dyDescent="0.35">
      <c r="A110" s="2">
        <v>37591</v>
      </c>
      <c r="B110" s="5">
        <f>[1]mensual!$E146</f>
        <v>3.5152857142857101</v>
      </c>
      <c r="C110" s="5">
        <f t="shared" si="1"/>
        <v>-1.9268287336417984</v>
      </c>
    </row>
    <row r="111" spans="1:3" x14ac:dyDescent="0.35">
      <c r="A111" s="2">
        <v>37622</v>
      </c>
      <c r="B111" s="5">
        <f>[1]mensual!$E147</f>
        <v>3.4947727272727298</v>
      </c>
      <c r="C111" s="5">
        <f t="shared" si="1"/>
        <v>-0.58353683541619716</v>
      </c>
    </row>
    <row r="112" spans="1:3" x14ac:dyDescent="0.35">
      <c r="A112" s="2">
        <v>37653</v>
      </c>
      <c r="B112" s="5">
        <f>[1]mensual!$E148</f>
        <v>3.4847000000000001</v>
      </c>
      <c r="C112" s="5">
        <f t="shared" si="1"/>
        <v>-0.28822267022182757</v>
      </c>
    </row>
    <row r="113" spans="1:3" x14ac:dyDescent="0.35">
      <c r="A113" s="2">
        <v>37681</v>
      </c>
      <c r="B113" s="5">
        <f>[1]mensual!$E149</f>
        <v>3.48003333333333</v>
      </c>
      <c r="C113" s="5">
        <f t="shared" si="1"/>
        <v>-0.13391874958161054</v>
      </c>
    </row>
    <row r="114" spans="1:3" x14ac:dyDescent="0.35">
      <c r="A114" s="2">
        <v>37712</v>
      </c>
      <c r="B114" s="5">
        <f>[1]mensual!$E150</f>
        <v>3.4654500000000001</v>
      </c>
      <c r="C114" s="5">
        <f t="shared" si="1"/>
        <v>-0.41905728872318093</v>
      </c>
    </row>
    <row r="115" spans="1:3" x14ac:dyDescent="0.35">
      <c r="A115" s="2">
        <v>37742</v>
      </c>
      <c r="B115" s="5">
        <f>[1]mensual!$E151</f>
        <v>3.4820000000000002</v>
      </c>
      <c r="C115" s="5">
        <f t="shared" si="1"/>
        <v>0.47757145536655798</v>
      </c>
    </row>
    <row r="116" spans="1:3" x14ac:dyDescent="0.35">
      <c r="A116" s="2">
        <v>37773</v>
      </c>
      <c r="B116" s="5">
        <f>[1]mensual!$E152</f>
        <v>3.4795714285714299</v>
      </c>
      <c r="C116" s="5">
        <f t="shared" si="1"/>
        <v>-6.9746451136424525E-2</v>
      </c>
    </row>
    <row r="117" spans="1:3" x14ac:dyDescent="0.35">
      <c r="A117" s="2">
        <v>37803</v>
      </c>
      <c r="B117" s="5">
        <f>[1]mensual!$E153</f>
        <v>3.472</v>
      </c>
      <c r="C117" s="5">
        <f t="shared" si="1"/>
        <v>-0.217596584144232</v>
      </c>
    </row>
    <row r="118" spans="1:3" x14ac:dyDescent="0.35">
      <c r="A118" s="2">
        <v>37834</v>
      </c>
      <c r="B118" s="5">
        <f>[1]mensual!$E154</f>
        <v>3.4809047619047599</v>
      </c>
      <c r="C118" s="5">
        <f t="shared" si="1"/>
        <v>0.25647355716475317</v>
      </c>
    </row>
    <row r="119" spans="1:3" x14ac:dyDescent="0.35">
      <c r="A119" s="2">
        <v>37865</v>
      </c>
      <c r="B119" s="5">
        <f>[1]mensual!$E155</f>
        <v>3.4815909090909098</v>
      </c>
      <c r="C119" s="5">
        <f t="shared" si="1"/>
        <v>1.9711748326443512E-2</v>
      </c>
    </row>
    <row r="120" spans="1:3" x14ac:dyDescent="0.35">
      <c r="A120" s="2">
        <v>37895</v>
      </c>
      <c r="B120" s="5">
        <f>[1]mensual!$E156</f>
        <v>3.4788636363636298</v>
      </c>
      <c r="C120" s="5">
        <f t="shared" si="1"/>
        <v>-7.8334094915021524E-2</v>
      </c>
    </row>
    <row r="121" spans="1:3" x14ac:dyDescent="0.35">
      <c r="A121" s="2">
        <v>37926</v>
      </c>
      <c r="B121" s="5">
        <f>[1]mensual!$E157</f>
        <v>3.47845</v>
      </c>
      <c r="C121" s="5">
        <f t="shared" si="1"/>
        <v>-1.1889984974004619E-2</v>
      </c>
    </row>
    <row r="122" spans="1:3" x14ac:dyDescent="0.35">
      <c r="A122" s="2">
        <v>37956</v>
      </c>
      <c r="B122" s="5">
        <f>[1]mensual!$E158</f>
        <v>3.4721428571428601</v>
      </c>
      <c r="C122" s="5">
        <f t="shared" si="1"/>
        <v>-0.18132049784070148</v>
      </c>
    </row>
    <row r="123" spans="1:3" x14ac:dyDescent="0.35">
      <c r="A123" s="2">
        <v>37987</v>
      </c>
      <c r="B123" s="5">
        <f>[1]mensual!$E159</f>
        <v>3.46771428571429</v>
      </c>
      <c r="C123" s="5">
        <f t="shared" si="1"/>
        <v>-0.12754577247476107</v>
      </c>
    </row>
    <row r="124" spans="1:3" x14ac:dyDescent="0.35">
      <c r="A124" s="2">
        <v>38018</v>
      </c>
      <c r="B124" s="5">
        <f>[1]mensual!$E160</f>
        <v>3.4841500000000001</v>
      </c>
      <c r="C124" s="5">
        <f t="shared" si="1"/>
        <v>0.47396391200449273</v>
      </c>
    </row>
    <row r="125" spans="1:3" x14ac:dyDescent="0.35">
      <c r="A125" s="2">
        <v>38047</v>
      </c>
      <c r="B125" s="5">
        <f>[1]mensual!$E161</f>
        <v>3.4659130434782601</v>
      </c>
      <c r="C125" s="5">
        <f t="shared" si="1"/>
        <v>-0.52342627389005258</v>
      </c>
    </row>
    <row r="126" spans="1:3" x14ac:dyDescent="0.35">
      <c r="A126" s="2">
        <v>38078</v>
      </c>
      <c r="B126" s="5">
        <f>[1]mensual!$E162</f>
        <v>3.4702999999999999</v>
      </c>
      <c r="C126" s="5">
        <f t="shared" si="1"/>
        <v>0.12657433890312575</v>
      </c>
    </row>
    <row r="127" spans="1:3" x14ac:dyDescent="0.35">
      <c r="A127" s="2">
        <v>38108</v>
      </c>
      <c r="B127" s="5">
        <f>[1]mensual!$E163</f>
        <v>3.4880476190476202</v>
      </c>
      <c r="C127" s="5">
        <f t="shared" si="1"/>
        <v>0.5114145476650549</v>
      </c>
    </row>
    <row r="128" spans="1:3" x14ac:dyDescent="0.35">
      <c r="A128" s="2">
        <v>38139</v>
      </c>
      <c r="B128" s="5">
        <f>[1]mensual!$E164</f>
        <v>3.4778571428571401</v>
      </c>
      <c r="C128" s="5">
        <f t="shared" si="1"/>
        <v>-0.29215415910125841</v>
      </c>
    </row>
    <row r="129" spans="1:3" x14ac:dyDescent="0.35">
      <c r="A129" s="2">
        <v>38169</v>
      </c>
      <c r="B129" s="5">
        <f>[1]mensual!$E165</f>
        <v>3.4422000000000001</v>
      </c>
      <c r="C129" s="5">
        <f t="shared" si="1"/>
        <v>-1.0252618607516126</v>
      </c>
    </row>
    <row r="130" spans="1:3" x14ac:dyDescent="0.35">
      <c r="A130" s="2">
        <v>38200</v>
      </c>
      <c r="B130" s="5">
        <f>[1]mensual!$E166</f>
        <v>3.3962857142857201</v>
      </c>
      <c r="C130" s="5">
        <f t="shared" si="1"/>
        <v>-1.3338645550601456</v>
      </c>
    </row>
    <row r="131" spans="1:3" x14ac:dyDescent="0.35">
      <c r="A131" s="2">
        <v>38231</v>
      </c>
      <c r="B131" s="5">
        <f>[1]mensual!$E167</f>
        <v>3.35840909090909</v>
      </c>
      <c r="C131" s="5">
        <f t="shared" si="1"/>
        <v>-1.1152366603702006</v>
      </c>
    </row>
    <row r="132" spans="1:3" x14ac:dyDescent="0.35">
      <c r="A132" s="2">
        <v>38261</v>
      </c>
      <c r="B132" s="5">
        <f>[1]mensual!$E168</f>
        <v>3.3220499999999999</v>
      </c>
      <c r="C132" s="5">
        <f t="shared" ref="C132:C195" si="2">100*B132/B131-100</f>
        <v>-1.0826284090139922</v>
      </c>
    </row>
    <row r="133" spans="1:3" x14ac:dyDescent="0.35">
      <c r="A133" s="2">
        <v>38292</v>
      </c>
      <c r="B133" s="5">
        <f>[1]mensual!$E169</f>
        <v>3.3110952380952399</v>
      </c>
      <c r="C133" s="5">
        <f t="shared" si="2"/>
        <v>-0.32975909166809458</v>
      </c>
    </row>
    <row r="134" spans="1:3" x14ac:dyDescent="0.35">
      <c r="A134" s="2">
        <v>38322</v>
      </c>
      <c r="B134" s="5">
        <f>[1]mensual!$E170</f>
        <v>3.28181818181818</v>
      </c>
      <c r="C134" s="5">
        <f t="shared" si="2"/>
        <v>-0.88421063641473552</v>
      </c>
    </row>
    <row r="135" spans="1:3" x14ac:dyDescent="0.35">
      <c r="A135" s="2">
        <v>38353</v>
      </c>
      <c r="B135" s="5">
        <f>[1]mensual!$E171</f>
        <v>3.2690952380952401</v>
      </c>
      <c r="C135" s="5">
        <f t="shared" si="2"/>
        <v>-0.38767972562975217</v>
      </c>
    </row>
    <row r="136" spans="1:3" x14ac:dyDescent="0.35">
      <c r="A136" s="2">
        <v>38384</v>
      </c>
      <c r="B136" s="5">
        <f>[1]mensual!$E172</f>
        <v>3.2596500000000002</v>
      </c>
      <c r="C136" s="5">
        <f t="shared" si="2"/>
        <v>-0.28892514311522177</v>
      </c>
    </row>
    <row r="137" spans="1:3" x14ac:dyDescent="0.35">
      <c r="A137" s="2">
        <v>38412</v>
      </c>
      <c r="B137" s="5">
        <f>[1]mensual!$E173</f>
        <v>3.2602380952380998</v>
      </c>
      <c r="C137" s="5">
        <f t="shared" si="2"/>
        <v>1.8041668218970131E-2</v>
      </c>
    </row>
    <row r="138" spans="1:3" x14ac:dyDescent="0.35">
      <c r="A138" s="2">
        <v>38443</v>
      </c>
      <c r="B138" s="5">
        <f>[1]mensual!$E174</f>
        <v>3.2588499999999998</v>
      </c>
      <c r="C138" s="5">
        <f t="shared" si="2"/>
        <v>-4.2576498941201635E-2</v>
      </c>
    </row>
    <row r="139" spans="1:3" x14ac:dyDescent="0.35">
      <c r="A139" s="2">
        <v>38473</v>
      </c>
      <c r="B139" s="5">
        <f>[1]mensual!$E175</f>
        <v>3.25576190476191</v>
      </c>
      <c r="C139" s="5">
        <f t="shared" si="2"/>
        <v>-9.4760275498714464E-2</v>
      </c>
    </row>
    <row r="140" spans="1:3" x14ac:dyDescent="0.35">
      <c r="A140" s="2">
        <v>38504</v>
      </c>
      <c r="B140" s="5">
        <f>[1]mensual!$E176</f>
        <v>3.25338095238095</v>
      </c>
      <c r="C140" s="5">
        <f t="shared" si="2"/>
        <v>-7.3130420792679729E-2</v>
      </c>
    </row>
    <row r="141" spans="1:3" x14ac:dyDescent="0.35">
      <c r="A141" s="2">
        <v>38534</v>
      </c>
      <c r="B141" s="5">
        <f>[1]mensual!$E177</f>
        <v>3.25278947368421</v>
      </c>
      <c r="C141" s="5">
        <f t="shared" si="2"/>
        <v>-1.8180431538681319E-2</v>
      </c>
    </row>
    <row r="142" spans="1:3" x14ac:dyDescent="0.35">
      <c r="A142" s="2">
        <v>38565</v>
      </c>
      <c r="B142" s="5">
        <f>[1]mensual!$E178</f>
        <v>3.2579090909090902</v>
      </c>
      <c r="C142" s="5">
        <f t="shared" si="2"/>
        <v>0.15739159470045649</v>
      </c>
    </row>
    <row r="143" spans="1:3" x14ac:dyDescent="0.35">
      <c r="A143" s="2">
        <v>38596</v>
      </c>
      <c r="B143" s="5">
        <f>[1]mensual!$E179</f>
        <v>3.3084090909090902</v>
      </c>
      <c r="C143" s="5">
        <f t="shared" si="2"/>
        <v>1.5500739459218096</v>
      </c>
    </row>
    <row r="144" spans="1:3" x14ac:dyDescent="0.35">
      <c r="A144" s="2">
        <v>38626</v>
      </c>
      <c r="B144" s="5">
        <f>[1]mensual!$E180</f>
        <v>3.3819047619047602</v>
      </c>
      <c r="C144" s="5">
        <f t="shared" si="2"/>
        <v>2.2214807472758764</v>
      </c>
    </row>
    <row r="145" spans="1:3" x14ac:dyDescent="0.35">
      <c r="A145" s="2">
        <v>38657</v>
      </c>
      <c r="B145" s="5">
        <f>[1]mensual!$E181</f>
        <v>3.3769999999999998</v>
      </c>
      <c r="C145" s="5">
        <f t="shared" si="2"/>
        <v>-0.14502956913540288</v>
      </c>
    </row>
    <row r="146" spans="1:3" x14ac:dyDescent="0.35">
      <c r="A146" s="2">
        <v>38687</v>
      </c>
      <c r="B146" s="5">
        <f>[1]mensual!$E182</f>
        <v>3.4252857142857098</v>
      </c>
      <c r="C146" s="5">
        <f t="shared" si="2"/>
        <v>1.4298405177882643</v>
      </c>
    </row>
    <row r="147" spans="1:3" x14ac:dyDescent="0.35">
      <c r="A147" s="2">
        <v>38718</v>
      </c>
      <c r="B147" s="5">
        <f>[1]mensual!$E183</f>
        <v>3.39427272727273</v>
      </c>
      <c r="C147" s="5">
        <f t="shared" si="2"/>
        <v>-0.90541314213979263</v>
      </c>
    </row>
    <row r="148" spans="1:3" x14ac:dyDescent="0.35">
      <c r="A148" s="2">
        <v>38749</v>
      </c>
      <c r="B148" s="5">
        <f>[1]mensual!$E184</f>
        <v>3.2896000000000001</v>
      </c>
      <c r="C148" s="5">
        <f t="shared" si="2"/>
        <v>-3.0838042692236201</v>
      </c>
    </row>
    <row r="149" spans="1:3" x14ac:dyDescent="0.35">
      <c r="A149" s="2">
        <v>38777</v>
      </c>
      <c r="B149" s="5">
        <f>[1]mensual!$E185</f>
        <v>3.3402608695652201</v>
      </c>
      <c r="C149" s="5">
        <f t="shared" si="2"/>
        <v>1.5400312975808674</v>
      </c>
    </row>
    <row r="150" spans="1:3" x14ac:dyDescent="0.35">
      <c r="A150" s="2">
        <v>38808</v>
      </c>
      <c r="B150" s="5">
        <f>[1]mensual!$E186</f>
        <v>3.3322777777777799</v>
      </c>
      <c r="C150" s="5">
        <f t="shared" si="2"/>
        <v>-0.23899605746898089</v>
      </c>
    </row>
    <row r="151" spans="1:3" x14ac:dyDescent="0.35">
      <c r="A151" s="2">
        <v>38838</v>
      </c>
      <c r="B151" s="5">
        <f>[1]mensual!$E187</f>
        <v>3.2799681818181798</v>
      </c>
      <c r="C151" s="5">
        <f t="shared" si="2"/>
        <v>-1.5697849773641792</v>
      </c>
    </row>
    <row r="152" spans="1:3" x14ac:dyDescent="0.35">
      <c r="A152" s="2">
        <v>38869</v>
      </c>
      <c r="B152" s="5">
        <f>[1]mensual!$E188</f>
        <v>3.2646476190476199</v>
      </c>
      <c r="C152" s="5">
        <f t="shared" si="2"/>
        <v>-0.46709485950157159</v>
      </c>
    </row>
    <row r="153" spans="1:3" x14ac:dyDescent="0.35">
      <c r="A153" s="2">
        <v>38899</v>
      </c>
      <c r="B153" s="5">
        <f>[1]mensual!$E189</f>
        <v>3.2437</v>
      </c>
      <c r="C153" s="5">
        <f t="shared" si="2"/>
        <v>-0.64165023279697664</v>
      </c>
    </row>
    <row r="154" spans="1:3" x14ac:dyDescent="0.35">
      <c r="A154" s="2">
        <v>38930</v>
      </c>
      <c r="B154" s="5">
        <f>[1]mensual!$E190</f>
        <v>3.2350454545454501</v>
      </c>
      <c r="C154" s="5">
        <f t="shared" si="2"/>
        <v>-0.26681090897893966</v>
      </c>
    </row>
    <row r="155" spans="1:3" x14ac:dyDescent="0.35">
      <c r="A155" s="2">
        <v>38961</v>
      </c>
      <c r="B155" s="5">
        <f>[1]mensual!$E191</f>
        <v>3.2484285714285699</v>
      </c>
      <c r="C155" s="5">
        <f t="shared" si="2"/>
        <v>0.41369177253183409</v>
      </c>
    </row>
    <row r="156" spans="1:3" x14ac:dyDescent="0.35">
      <c r="A156" s="2">
        <v>38991</v>
      </c>
      <c r="B156" s="5">
        <f>[1]mensual!$E192</f>
        <v>3.2380454545454498</v>
      </c>
      <c r="C156" s="5">
        <f t="shared" si="2"/>
        <v>-0.3196350683048621</v>
      </c>
    </row>
    <row r="157" spans="1:3" x14ac:dyDescent="0.35">
      <c r="A157" s="2">
        <v>39022</v>
      </c>
      <c r="B157" s="5">
        <f>[1]mensual!$E193</f>
        <v>3.2225714285714302</v>
      </c>
      <c r="C157" s="5">
        <f t="shared" si="2"/>
        <v>-0.47788167866197284</v>
      </c>
    </row>
    <row r="158" spans="1:3" x14ac:dyDescent="0.35">
      <c r="A158" s="2">
        <v>39052</v>
      </c>
      <c r="B158" s="5">
        <f>[1]mensual!$E194</f>
        <v>3.206</v>
      </c>
      <c r="C158" s="5">
        <f t="shared" si="2"/>
        <v>-0.51422998492778049</v>
      </c>
    </row>
    <row r="159" spans="1:3" x14ac:dyDescent="0.35">
      <c r="A159" s="2">
        <v>39083</v>
      </c>
      <c r="B159" s="5">
        <f>[1]mensual!$E195</f>
        <v>3.1930454545454601</v>
      </c>
      <c r="C159" s="5">
        <f t="shared" si="2"/>
        <v>-0.40407191062195125</v>
      </c>
    </row>
    <row r="160" spans="1:3" x14ac:dyDescent="0.35">
      <c r="A160" s="2">
        <v>39114</v>
      </c>
      <c r="B160" s="5">
        <f>[1]mensual!$E196</f>
        <v>3.19075</v>
      </c>
      <c r="C160" s="5">
        <f t="shared" si="2"/>
        <v>-7.1889190997652008E-2</v>
      </c>
    </row>
    <row r="161" spans="1:3" x14ac:dyDescent="0.35">
      <c r="A161" s="2">
        <v>39142</v>
      </c>
      <c r="B161" s="5">
        <f>[1]mensual!$E197</f>
        <v>3.18618181818182</v>
      </c>
      <c r="C161" s="5">
        <f t="shared" si="2"/>
        <v>-0.14316953124438214</v>
      </c>
    </row>
    <row r="162" spans="1:3" x14ac:dyDescent="0.35">
      <c r="A162" s="2">
        <v>39173</v>
      </c>
      <c r="B162" s="5">
        <f>[1]mensual!$E198</f>
        <v>3.17868421052632</v>
      </c>
      <c r="C162" s="5">
        <f t="shared" si="2"/>
        <v>-0.23531637813997008</v>
      </c>
    </row>
    <row r="163" spans="1:3" x14ac:dyDescent="0.35">
      <c r="A163" s="2">
        <v>39203</v>
      </c>
      <c r="B163" s="5">
        <f>[1]mensual!$E199</f>
        <v>3.1680454545454499</v>
      </c>
      <c r="C163" s="5">
        <f t="shared" si="2"/>
        <v>-0.33469055987504248</v>
      </c>
    </row>
    <row r="164" spans="1:3" x14ac:dyDescent="0.35">
      <c r="A164" s="2">
        <v>39234</v>
      </c>
      <c r="B164" s="5">
        <f>[1]mensual!$E200</f>
        <v>3.1706500000000002</v>
      </c>
      <c r="C164" s="5">
        <f t="shared" si="2"/>
        <v>8.2213007733614063E-2</v>
      </c>
    </row>
    <row r="165" spans="1:3" x14ac:dyDescent="0.35">
      <c r="A165" s="2">
        <v>39264</v>
      </c>
      <c r="B165" s="5">
        <f>[1]mensual!$E201</f>
        <v>3.1614090909090899</v>
      </c>
      <c r="C165" s="5">
        <f t="shared" si="2"/>
        <v>-0.29145156642675829</v>
      </c>
    </row>
    <row r="166" spans="1:3" x14ac:dyDescent="0.35">
      <c r="A166" s="2">
        <v>39295</v>
      </c>
      <c r="B166" s="5">
        <f>[1]mensual!$E202</f>
        <v>3.15877272727273</v>
      </c>
      <c r="C166" s="5">
        <f t="shared" si="2"/>
        <v>-8.3392043248721848E-2</v>
      </c>
    </row>
    <row r="167" spans="1:3" x14ac:dyDescent="0.35">
      <c r="A167" s="2">
        <v>39326</v>
      </c>
      <c r="B167" s="5">
        <f>[1]mensual!$E203</f>
        <v>3.13645</v>
      </c>
      <c r="C167" s="5">
        <f t="shared" si="2"/>
        <v>-0.70668988243428998</v>
      </c>
    </row>
    <row r="168" spans="1:3" x14ac:dyDescent="0.35">
      <c r="A168" s="2">
        <v>39356</v>
      </c>
      <c r="B168" s="5">
        <f>[1]mensual!$E204</f>
        <v>3.0203181818181801</v>
      </c>
      <c r="C168" s="5">
        <f t="shared" si="2"/>
        <v>-3.7026516661135815</v>
      </c>
    </row>
    <row r="169" spans="1:3" x14ac:dyDescent="0.35">
      <c r="A169" s="2">
        <v>39387</v>
      </c>
      <c r="B169" s="5">
        <f>[1]mensual!$E205</f>
        <v>3.0016190476190499</v>
      </c>
      <c r="C169" s="5">
        <f t="shared" si="2"/>
        <v>-0.61911140063639891</v>
      </c>
    </row>
    <row r="170" spans="1:3" x14ac:dyDescent="0.35">
      <c r="A170" s="2">
        <v>39417</v>
      </c>
      <c r="B170" s="5">
        <f>[1]mensual!$E206</f>
        <v>2.9815999999999998</v>
      </c>
      <c r="C170" s="5">
        <f t="shared" si="2"/>
        <v>-0.66694165053789334</v>
      </c>
    </row>
    <row r="171" spans="1:3" x14ac:dyDescent="0.35">
      <c r="A171" s="2">
        <v>39448</v>
      </c>
      <c r="B171" s="5">
        <f>[1]mensual!$E207</f>
        <v>2.9510000000000001</v>
      </c>
      <c r="C171" s="5">
        <f t="shared" si="2"/>
        <v>-1.0262946069224483</v>
      </c>
    </row>
    <row r="172" spans="1:3" x14ac:dyDescent="0.35">
      <c r="A172" s="2">
        <v>39479</v>
      </c>
      <c r="B172" s="5">
        <f>[1]mensual!$E208</f>
        <v>2.9062857142857101</v>
      </c>
      <c r="C172" s="5">
        <f t="shared" si="2"/>
        <v>-1.5152248632426222</v>
      </c>
    </row>
    <row r="173" spans="1:3" x14ac:dyDescent="0.35">
      <c r="A173" s="2">
        <v>39508</v>
      </c>
      <c r="B173" s="5">
        <f>[1]mensual!$E209</f>
        <v>2.8118947368421101</v>
      </c>
      <c r="C173" s="5">
        <f t="shared" si="2"/>
        <v>-3.2478216776700748</v>
      </c>
    </row>
    <row r="174" spans="1:3" x14ac:dyDescent="0.35">
      <c r="A174" s="2">
        <v>39539</v>
      </c>
      <c r="B174" s="5">
        <f>[1]mensual!$E210</f>
        <v>2.74945454545455</v>
      </c>
      <c r="C174" s="5">
        <f t="shared" si="2"/>
        <v>-2.2205735716011645</v>
      </c>
    </row>
    <row r="175" spans="1:3" x14ac:dyDescent="0.35">
      <c r="A175" s="2">
        <v>39569</v>
      </c>
      <c r="B175" s="5">
        <f>[1]mensual!$E211</f>
        <v>2.8053684210526302</v>
      </c>
      <c r="C175" s="5">
        <f t="shared" si="2"/>
        <v>2.033635205590798</v>
      </c>
    </row>
    <row r="176" spans="1:3" x14ac:dyDescent="0.35">
      <c r="A176" s="2">
        <v>39600</v>
      </c>
      <c r="B176" s="5">
        <f>[1]mensual!$E212</f>
        <v>2.8928571428571401</v>
      </c>
      <c r="C176" s="5">
        <f t="shared" si="2"/>
        <v>3.1186179023032707</v>
      </c>
    </row>
    <row r="177" spans="1:3" x14ac:dyDescent="0.35">
      <c r="A177" s="2">
        <v>39630</v>
      </c>
      <c r="B177" s="5">
        <f>[1]mensual!$E213</f>
        <v>2.8492380952380998</v>
      </c>
      <c r="C177" s="5">
        <f t="shared" si="2"/>
        <v>-1.5078189300409122</v>
      </c>
    </row>
    <row r="178" spans="1:3" x14ac:dyDescent="0.35">
      <c r="A178" s="2">
        <v>39661</v>
      </c>
      <c r="B178" s="5">
        <f>[1]mensual!$E214</f>
        <v>2.8934285714285699</v>
      </c>
      <c r="C178" s="5">
        <f t="shared" si="2"/>
        <v>1.5509576494967234</v>
      </c>
    </row>
    <row r="179" spans="1:3" x14ac:dyDescent="0.35">
      <c r="A179" s="2">
        <v>39692</v>
      </c>
      <c r="B179" s="5">
        <f>[1]mensual!$E215</f>
        <v>2.9667727272727298</v>
      </c>
      <c r="C179" s="5">
        <f t="shared" si="2"/>
        <v>2.5348528236848011</v>
      </c>
    </row>
    <row r="180" spans="1:3" x14ac:dyDescent="0.35">
      <c r="A180" s="2">
        <v>39722</v>
      </c>
      <c r="B180" s="5">
        <f>[1]mensual!$E216</f>
        <v>3.07713636363636</v>
      </c>
      <c r="C180" s="5">
        <f t="shared" si="2"/>
        <v>3.7199895815775648</v>
      </c>
    </row>
    <row r="181" spans="1:3" x14ac:dyDescent="0.35">
      <c r="A181" s="2">
        <v>39753</v>
      </c>
      <c r="B181" s="5">
        <f>[1]mensual!$E217</f>
        <v>3.09283333333333</v>
      </c>
      <c r="C181" s="5">
        <f t="shared" si="2"/>
        <v>0.51011615482715911</v>
      </c>
    </row>
    <row r="182" spans="1:3" x14ac:dyDescent="0.35">
      <c r="A182" s="2">
        <v>39783</v>
      </c>
      <c r="B182" s="5">
        <f>[1]mensual!$E218</f>
        <v>3.1147499999999999</v>
      </c>
      <c r="C182" s="5">
        <f t="shared" si="2"/>
        <v>0.70862747211305077</v>
      </c>
    </row>
    <row r="183" spans="1:3" x14ac:dyDescent="0.35">
      <c r="A183" s="2">
        <v>39814</v>
      </c>
      <c r="B183" s="5">
        <f>[1]mensual!$E219</f>
        <v>3.1517499999999998</v>
      </c>
      <c r="C183" s="5">
        <f t="shared" si="2"/>
        <v>1.1878962998635387</v>
      </c>
    </row>
    <row r="184" spans="1:3" x14ac:dyDescent="0.35">
      <c r="A184" s="2">
        <v>39845</v>
      </c>
      <c r="B184" s="5">
        <f>[1]mensual!$E220</f>
        <v>3.23685</v>
      </c>
      <c r="C184" s="5">
        <f t="shared" si="2"/>
        <v>2.7000872531133524</v>
      </c>
    </row>
    <row r="185" spans="1:3" x14ac:dyDescent="0.35">
      <c r="A185" s="2">
        <v>39873</v>
      </c>
      <c r="B185" s="5">
        <f>[1]mensual!$E221</f>
        <v>3.1754090909090902</v>
      </c>
      <c r="C185" s="5">
        <f t="shared" si="2"/>
        <v>-1.8981697975164167</v>
      </c>
    </row>
    <row r="186" spans="1:3" x14ac:dyDescent="0.35">
      <c r="A186" s="2">
        <v>39904</v>
      </c>
      <c r="B186" s="5">
        <f>[1]mensual!$E222</f>
        <v>3.08575</v>
      </c>
      <c r="C186" s="5">
        <f t="shared" si="2"/>
        <v>-2.8235445683447864</v>
      </c>
    </row>
    <row r="187" spans="1:3" x14ac:dyDescent="0.35">
      <c r="A187" s="2">
        <v>39934</v>
      </c>
      <c r="B187" s="5">
        <f>[1]mensual!$E223</f>
        <v>2.9944000000000002</v>
      </c>
      <c r="C187" s="5">
        <f t="shared" si="2"/>
        <v>-2.9603824029814518</v>
      </c>
    </row>
    <row r="188" spans="1:3" x14ac:dyDescent="0.35">
      <c r="A188" s="2">
        <v>39965</v>
      </c>
      <c r="B188" s="5">
        <f>[1]mensual!$E224</f>
        <v>2.9910000000000001</v>
      </c>
      <c r="C188" s="5">
        <f t="shared" si="2"/>
        <v>-0.11354528453112778</v>
      </c>
    </row>
    <row r="189" spans="1:3" x14ac:dyDescent="0.35">
      <c r="A189" s="2">
        <v>39995</v>
      </c>
      <c r="B189" s="5">
        <f>[1]mensual!$E225</f>
        <v>3.01315</v>
      </c>
      <c r="C189" s="5">
        <f t="shared" si="2"/>
        <v>0.74055499832832083</v>
      </c>
    </row>
    <row r="190" spans="1:3" x14ac:dyDescent="0.35">
      <c r="A190" s="2">
        <v>40026</v>
      </c>
      <c r="B190" s="5">
        <f>[1]mensual!$E226</f>
        <v>2.9512380952381001</v>
      </c>
      <c r="C190" s="5">
        <f t="shared" si="2"/>
        <v>-2.0547236201948209</v>
      </c>
    </row>
    <row r="191" spans="1:3" x14ac:dyDescent="0.35">
      <c r="A191" s="2">
        <v>40057</v>
      </c>
      <c r="B191" s="5">
        <f>[1]mensual!$E227</f>
        <v>2.9103181818181798</v>
      </c>
      <c r="C191" s="5">
        <f t="shared" si="2"/>
        <v>-1.3865337902064141</v>
      </c>
    </row>
    <row r="192" spans="1:3" x14ac:dyDescent="0.35">
      <c r="A192" s="2">
        <v>40087</v>
      </c>
      <c r="B192" s="5">
        <f>[1]mensual!$E228</f>
        <v>2.8725999999999998</v>
      </c>
      <c r="C192" s="5">
        <f t="shared" si="2"/>
        <v>-1.2960157433582111</v>
      </c>
    </row>
    <row r="193" spans="1:3" x14ac:dyDescent="0.35">
      <c r="A193" s="2">
        <v>40118</v>
      </c>
      <c r="B193" s="5">
        <f>[1]mensual!$E229</f>
        <v>2.8856190476190502</v>
      </c>
      <c r="C193" s="5">
        <f t="shared" si="2"/>
        <v>0.45321477473544292</v>
      </c>
    </row>
    <row r="194" spans="1:3" x14ac:dyDescent="0.35">
      <c r="A194" s="2">
        <v>40148</v>
      </c>
      <c r="B194" s="5">
        <f>[1]mensual!$E230</f>
        <v>2.8783684210526301</v>
      </c>
      <c r="C194" s="5">
        <f t="shared" si="2"/>
        <v>-0.25126762912111644</v>
      </c>
    </row>
    <row r="195" spans="1:3" x14ac:dyDescent="0.35">
      <c r="A195" s="2">
        <v>40179</v>
      </c>
      <c r="B195" s="5">
        <f>[1]mensual!$E231</f>
        <v>2.8573</v>
      </c>
      <c r="C195" s="5">
        <f t="shared" si="2"/>
        <v>-0.73195706632040469</v>
      </c>
    </row>
    <row r="196" spans="1:3" x14ac:dyDescent="0.35">
      <c r="A196" s="2">
        <v>40210</v>
      </c>
      <c r="B196" s="5">
        <f>[1]mensual!$E232</f>
        <v>2.8548</v>
      </c>
      <c r="C196" s="5">
        <f t="shared" ref="C196:C259" si="3">100*B196/B195-100</f>
        <v>-8.7495187764659477E-2</v>
      </c>
    </row>
    <row r="197" spans="1:3" x14ac:dyDescent="0.35">
      <c r="A197" s="2">
        <v>40238</v>
      </c>
      <c r="B197" s="5">
        <f>[1]mensual!$E233</f>
        <v>2.8403043478260899</v>
      </c>
      <c r="C197" s="5">
        <f t="shared" si="3"/>
        <v>-0.50776419272487772</v>
      </c>
    </row>
    <row r="198" spans="1:3" x14ac:dyDescent="0.35">
      <c r="A198" s="2">
        <v>40269</v>
      </c>
      <c r="B198" s="5">
        <f>[1]mensual!$E234</f>
        <v>2.8406500000000001</v>
      </c>
      <c r="C198" s="5">
        <f t="shared" si="3"/>
        <v>1.2169547047818696E-2</v>
      </c>
    </row>
    <row r="199" spans="1:3" x14ac:dyDescent="0.35">
      <c r="A199" s="2">
        <v>40299</v>
      </c>
      <c r="B199" s="5">
        <f>[1]mensual!$E235</f>
        <v>2.8461428571428602</v>
      </c>
      <c r="C199" s="5">
        <f t="shared" si="3"/>
        <v>0.19336620642670255</v>
      </c>
    </row>
    <row r="200" spans="1:3" x14ac:dyDescent="0.35">
      <c r="A200" s="2">
        <v>40330</v>
      </c>
      <c r="B200" s="5">
        <f>[1]mensual!$E236</f>
        <v>2.8386499999999999</v>
      </c>
      <c r="C200" s="5">
        <f t="shared" si="3"/>
        <v>-0.26326356472429779</v>
      </c>
    </row>
    <row r="201" spans="1:3" x14ac:dyDescent="0.35">
      <c r="A201" s="2">
        <v>40360</v>
      </c>
      <c r="B201" s="5">
        <f>[1]mensual!$E237</f>
        <v>2.8234210526315802</v>
      </c>
      <c r="C201" s="5">
        <f t="shared" si="3"/>
        <v>-0.53648556068623066</v>
      </c>
    </row>
    <row r="202" spans="1:3" x14ac:dyDescent="0.35">
      <c r="A202" s="2">
        <v>40391</v>
      </c>
      <c r="B202" s="5">
        <f>[1]mensual!$E238</f>
        <v>2.8025238095238101</v>
      </c>
      <c r="C202" s="5">
        <f t="shared" si="3"/>
        <v>-0.74013909786117438</v>
      </c>
    </row>
    <row r="203" spans="1:3" x14ac:dyDescent="0.35">
      <c r="A203" s="2">
        <v>40422</v>
      </c>
      <c r="B203" s="5">
        <f>[1]mensual!$E239</f>
        <v>2.7910909090909102</v>
      </c>
      <c r="C203" s="5">
        <f t="shared" si="3"/>
        <v>-0.4079501624231483</v>
      </c>
    </row>
    <row r="204" spans="1:3" x14ac:dyDescent="0.35">
      <c r="A204" s="2">
        <v>40452</v>
      </c>
      <c r="B204" s="5">
        <f>[1]mensual!$E240</f>
        <v>2.7920500000000001</v>
      </c>
      <c r="C204" s="5">
        <f t="shared" si="3"/>
        <v>3.4362582242181361E-2</v>
      </c>
    </row>
    <row r="205" spans="1:3" x14ac:dyDescent="0.35">
      <c r="A205" s="2">
        <v>40483</v>
      </c>
      <c r="B205" s="5">
        <f>[1]mensual!$E241</f>
        <v>2.8061428571428602</v>
      </c>
      <c r="C205" s="5">
        <f t="shared" si="3"/>
        <v>0.50474945444602781</v>
      </c>
    </row>
    <row r="206" spans="1:3" x14ac:dyDescent="0.35">
      <c r="A206" s="2">
        <v>40513</v>
      </c>
      <c r="B206" s="5">
        <f>[1]mensual!$E242</f>
        <v>2.8163499999999999</v>
      </c>
      <c r="C206" s="5">
        <f t="shared" si="3"/>
        <v>0.36374280914309054</v>
      </c>
    </row>
    <row r="207" spans="1:3" x14ac:dyDescent="0.35">
      <c r="A207" s="2">
        <v>40544</v>
      </c>
      <c r="B207" s="5">
        <f>[1]mensual!$E243</f>
        <v>2.78780952380952</v>
      </c>
      <c r="C207" s="5">
        <f t="shared" si="3"/>
        <v>-1.013385274929604</v>
      </c>
    </row>
    <row r="208" spans="1:3" x14ac:dyDescent="0.35">
      <c r="A208" s="2">
        <v>40575</v>
      </c>
      <c r="B208" s="5">
        <f>[1]mensual!$E244</f>
        <v>2.77115</v>
      </c>
      <c r="C208" s="5">
        <f t="shared" si="3"/>
        <v>-0.59758472260166684</v>
      </c>
    </row>
    <row r="209" spans="1:3" x14ac:dyDescent="0.35">
      <c r="A209" s="2">
        <v>40603</v>
      </c>
      <c r="B209" s="5">
        <f>[1]mensual!$E245</f>
        <v>2.7798695652173899</v>
      </c>
      <c r="C209" s="5">
        <f t="shared" si="3"/>
        <v>0.31465511493026099</v>
      </c>
    </row>
    <row r="210" spans="1:3" x14ac:dyDescent="0.35">
      <c r="A210" s="2">
        <v>40634</v>
      </c>
      <c r="B210" s="5">
        <f>[1]mensual!$E246</f>
        <v>2.8162631578947401</v>
      </c>
      <c r="C210" s="5">
        <f t="shared" si="3"/>
        <v>1.3091834643149554</v>
      </c>
    </row>
    <row r="211" spans="1:3" x14ac:dyDescent="0.35">
      <c r="A211" s="2">
        <v>40664</v>
      </c>
      <c r="B211" s="5">
        <f>[1]mensual!$E247</f>
        <v>2.7755714285714301</v>
      </c>
      <c r="C211" s="5">
        <f t="shared" si="3"/>
        <v>-1.4448837712214697</v>
      </c>
    </row>
    <row r="212" spans="1:3" x14ac:dyDescent="0.35">
      <c r="A212" s="2">
        <v>40695</v>
      </c>
      <c r="B212" s="5">
        <f>[1]mensual!$E248</f>
        <v>2.7647142857142901</v>
      </c>
      <c r="C212" s="5">
        <f t="shared" si="3"/>
        <v>-0.39116784188574627</v>
      </c>
    </row>
    <row r="213" spans="1:3" x14ac:dyDescent="0.35">
      <c r="A213" s="2">
        <v>40725</v>
      </c>
      <c r="B213" s="5">
        <f>[1]mensual!$E249</f>
        <v>2.7418947368421098</v>
      </c>
      <c r="C213" s="5">
        <f t="shared" si="3"/>
        <v>-0.82538542915960988</v>
      </c>
    </row>
    <row r="214" spans="1:3" x14ac:dyDescent="0.35">
      <c r="A214" s="2">
        <v>40756</v>
      </c>
      <c r="B214" s="5">
        <f>[1]mensual!$E250</f>
        <v>2.74</v>
      </c>
      <c r="C214" s="5">
        <f t="shared" si="3"/>
        <v>-6.9103194103362853E-2</v>
      </c>
    </row>
    <row r="215" spans="1:3" x14ac:dyDescent="0.35">
      <c r="A215" s="2">
        <v>40787</v>
      </c>
      <c r="B215" s="5">
        <f>[1]mensual!$E251</f>
        <v>2.7443181818181799</v>
      </c>
      <c r="C215" s="5">
        <f t="shared" si="3"/>
        <v>0.15759787657590607</v>
      </c>
    </row>
    <row r="216" spans="1:3" x14ac:dyDescent="0.35">
      <c r="A216" s="2">
        <v>40817</v>
      </c>
      <c r="B216" s="5">
        <f>[1]mensual!$E252</f>
        <v>2.7324000000000002</v>
      </c>
      <c r="C216" s="5">
        <f t="shared" si="3"/>
        <v>-0.434285714285636</v>
      </c>
    </row>
    <row r="217" spans="1:3" x14ac:dyDescent="0.35">
      <c r="A217" s="2">
        <v>40848</v>
      </c>
      <c r="B217" s="5">
        <f>[1]mensual!$E253</f>
        <v>2.70561904761905</v>
      </c>
      <c r="C217" s="5">
        <f t="shared" si="3"/>
        <v>-0.98012561780669216</v>
      </c>
    </row>
    <row r="218" spans="1:3" x14ac:dyDescent="0.35">
      <c r="A218" s="2">
        <v>40878</v>
      </c>
      <c r="B218" s="5">
        <f>[1]mensual!$E254</f>
        <v>2.6968947368421099</v>
      </c>
      <c r="C218" s="5">
        <f t="shared" si="3"/>
        <v>-0.3224515581606795</v>
      </c>
    </row>
    <row r="219" spans="1:3" x14ac:dyDescent="0.35">
      <c r="A219" s="2">
        <v>40909</v>
      </c>
      <c r="B219" s="5">
        <f>[1]mensual!$E255</f>
        <v>2.6933181818181802</v>
      </c>
      <c r="C219" s="5">
        <f t="shared" si="3"/>
        <v>-0.13261752396454085</v>
      </c>
    </row>
    <row r="220" spans="1:3" x14ac:dyDescent="0.35">
      <c r="A220" s="2">
        <v>40940</v>
      </c>
      <c r="B220" s="5">
        <f>[1]mensual!$E256</f>
        <v>2.6842380952381002</v>
      </c>
      <c r="C220" s="5">
        <f t="shared" si="3"/>
        <v>-0.33713382404563674</v>
      </c>
    </row>
    <row r="221" spans="1:3" x14ac:dyDescent="0.35">
      <c r="A221" s="2">
        <v>40969</v>
      </c>
      <c r="B221" s="5">
        <f>[1]mensual!$E257</f>
        <v>2.6715909090909098</v>
      </c>
      <c r="C221" s="5">
        <f t="shared" si="3"/>
        <v>-0.47116484076531151</v>
      </c>
    </row>
    <row r="222" spans="1:3" x14ac:dyDescent="0.35">
      <c r="A222" s="2">
        <v>41000</v>
      </c>
      <c r="B222" s="5">
        <f>[1]mensual!$E258</f>
        <v>2.6576666666666702</v>
      </c>
      <c r="C222" s="5">
        <f t="shared" si="3"/>
        <v>-0.52119665390604553</v>
      </c>
    </row>
    <row r="223" spans="1:3" x14ac:dyDescent="0.35">
      <c r="A223" s="2">
        <v>41030</v>
      </c>
      <c r="B223" s="5">
        <f>[1]mensual!$E259</f>
        <v>2.6699545454545501</v>
      </c>
      <c r="C223" s="5">
        <f t="shared" si="3"/>
        <v>0.46235590572732121</v>
      </c>
    </row>
    <row r="224" spans="1:3" x14ac:dyDescent="0.35">
      <c r="A224" s="2">
        <v>41061</v>
      </c>
      <c r="B224" s="5">
        <f>[1]mensual!$E260</f>
        <v>2.6711499999999999</v>
      </c>
      <c r="C224" s="5">
        <f t="shared" si="3"/>
        <v>4.4774340727457229E-2</v>
      </c>
    </row>
    <row r="225" spans="1:3" x14ac:dyDescent="0.35">
      <c r="A225" s="2">
        <v>41091</v>
      </c>
      <c r="B225" s="5">
        <f>[1]mensual!$E261</f>
        <v>2.6357619047619001</v>
      </c>
      <c r="C225" s="5">
        <f t="shared" si="3"/>
        <v>-1.3248262073676074</v>
      </c>
    </row>
    <row r="226" spans="1:3" x14ac:dyDescent="0.35">
      <c r="A226" s="2">
        <v>41122</v>
      </c>
      <c r="B226" s="5">
        <f>[1]mensual!$E262</f>
        <v>2.6165238095238101</v>
      </c>
      <c r="C226" s="5">
        <f t="shared" si="3"/>
        <v>-0.72988744557440555</v>
      </c>
    </row>
    <row r="227" spans="1:3" x14ac:dyDescent="0.35">
      <c r="A227" s="2">
        <v>41153</v>
      </c>
      <c r="B227" s="5">
        <f>[1]mensual!$E263</f>
        <v>2.6032999999999999</v>
      </c>
      <c r="C227" s="5">
        <f t="shared" si="3"/>
        <v>-0.5053961089777772</v>
      </c>
    </row>
    <row r="228" spans="1:3" x14ac:dyDescent="0.35">
      <c r="A228" s="2">
        <v>41183</v>
      </c>
      <c r="B228" s="5">
        <f>[1]mensual!$E264</f>
        <v>2.5880999999999998</v>
      </c>
      <c r="C228" s="5">
        <f t="shared" si="3"/>
        <v>-0.58387431337148143</v>
      </c>
    </row>
    <row r="229" spans="1:3" x14ac:dyDescent="0.35">
      <c r="A229" s="2">
        <v>41214</v>
      </c>
      <c r="B229" s="5">
        <f>[1]mensual!$E265</f>
        <v>2.5991499999999998</v>
      </c>
      <c r="C229" s="5">
        <f t="shared" si="3"/>
        <v>0.4269541362389333</v>
      </c>
    </row>
    <row r="230" spans="1:3" x14ac:dyDescent="0.35">
      <c r="A230" s="2">
        <v>41244</v>
      </c>
      <c r="B230" s="5">
        <f>[1]mensual!$E266</f>
        <v>2.5675555555555598</v>
      </c>
      <c r="C230" s="5">
        <f t="shared" si="3"/>
        <v>-1.2155683375118826</v>
      </c>
    </row>
    <row r="231" spans="1:3" x14ac:dyDescent="0.35">
      <c r="A231" s="2">
        <v>41275</v>
      </c>
      <c r="B231" s="5">
        <f>[1]mensual!$E267</f>
        <v>2.55240909090909</v>
      </c>
      <c r="C231" s="5">
        <f t="shared" si="3"/>
        <v>-0.58991769871138899</v>
      </c>
    </row>
    <row r="232" spans="1:3" x14ac:dyDescent="0.35">
      <c r="A232" s="2">
        <v>41306</v>
      </c>
      <c r="B232" s="5">
        <f>[1]mensual!$E268</f>
        <v>2.5785263157894698</v>
      </c>
      <c r="C232" s="5">
        <f t="shared" si="3"/>
        <v>1.0232382016425703</v>
      </c>
    </row>
    <row r="233" spans="1:3" x14ac:dyDescent="0.35">
      <c r="A233" s="2">
        <v>41334</v>
      </c>
      <c r="B233" s="5">
        <f>[1]mensual!$E269</f>
        <v>2.5945263157894698</v>
      </c>
      <c r="C233" s="5">
        <f t="shared" si="3"/>
        <v>0.62050947093402442</v>
      </c>
    </row>
    <row r="234" spans="1:3" x14ac:dyDescent="0.35">
      <c r="A234" s="2">
        <v>41365</v>
      </c>
      <c r="B234" s="5">
        <f>[1]mensual!$E270</f>
        <v>2.5980454545454599</v>
      </c>
      <c r="C234" s="5">
        <f t="shared" si="3"/>
        <v>0.13563704228296558</v>
      </c>
    </row>
    <row r="235" spans="1:3" x14ac:dyDescent="0.35">
      <c r="A235" s="2">
        <v>41395</v>
      </c>
      <c r="B235" s="5">
        <f>[1]mensual!$E271</f>
        <v>2.6456818181818198</v>
      </c>
      <c r="C235" s="5">
        <f t="shared" si="3"/>
        <v>1.833546197316025</v>
      </c>
    </row>
    <row r="236" spans="1:3" x14ac:dyDescent="0.35">
      <c r="A236" s="2">
        <v>41426</v>
      </c>
      <c r="B236" s="5">
        <f>[1]mensual!$E272</f>
        <v>2.74842105263158</v>
      </c>
      <c r="C236" s="5">
        <f t="shared" si="3"/>
        <v>3.8832800582333391</v>
      </c>
    </row>
    <row r="237" spans="1:3" x14ac:dyDescent="0.35">
      <c r="A237" s="2">
        <v>41456</v>
      </c>
      <c r="B237" s="5">
        <f>[1]mensual!$E273</f>
        <v>2.7781428571428601</v>
      </c>
      <c r="C237" s="5">
        <f t="shared" si="3"/>
        <v>1.081413798763549</v>
      </c>
    </row>
    <row r="238" spans="1:3" x14ac:dyDescent="0.35">
      <c r="A238" s="2">
        <v>41487</v>
      </c>
      <c r="B238" s="5">
        <f>[1]mensual!$E274</f>
        <v>2.8024761904761899</v>
      </c>
      <c r="C238" s="5">
        <f t="shared" si="3"/>
        <v>0.87588488370086282</v>
      </c>
    </row>
    <row r="239" spans="1:3" x14ac:dyDescent="0.35">
      <c r="A239" s="2">
        <v>41518</v>
      </c>
      <c r="B239" s="5">
        <f>[1]mensual!$E275</f>
        <v>2.7797619047619002</v>
      </c>
      <c r="C239" s="5">
        <f t="shared" si="3"/>
        <v>-0.81050771426643564</v>
      </c>
    </row>
    <row r="240" spans="1:3" x14ac:dyDescent="0.35">
      <c r="A240" s="2">
        <v>41548</v>
      </c>
      <c r="B240" s="5">
        <f>[1]mensual!$E276</f>
        <v>2.7701428571428601</v>
      </c>
      <c r="C240" s="5">
        <f t="shared" si="3"/>
        <v>-0.34603854389693822</v>
      </c>
    </row>
    <row r="241" spans="1:3" x14ac:dyDescent="0.35">
      <c r="A241" s="2">
        <v>41579</v>
      </c>
      <c r="B241" s="5">
        <f>[1]mensual!$E277</f>
        <v>2.79915</v>
      </c>
      <c r="C241" s="5">
        <f t="shared" si="3"/>
        <v>1.0471352689391011</v>
      </c>
    </row>
    <row r="242" spans="1:3" x14ac:dyDescent="0.35">
      <c r="A242" s="2">
        <v>41609</v>
      </c>
      <c r="B242" s="5">
        <f>[1]mensual!$E278</f>
        <v>2.7860999999999998</v>
      </c>
      <c r="C242" s="5">
        <f t="shared" si="3"/>
        <v>-0.46621295750497893</v>
      </c>
    </row>
    <row r="243" spans="1:3" x14ac:dyDescent="0.35">
      <c r="A243" s="2">
        <v>41640</v>
      </c>
      <c r="B243" s="5">
        <f>[1]mensual!$E279</f>
        <v>2.8097727272727302</v>
      </c>
      <c r="C243" s="5">
        <f t="shared" si="3"/>
        <v>0.84967256282008918</v>
      </c>
    </row>
    <row r="244" spans="1:3" x14ac:dyDescent="0.35">
      <c r="A244" s="2">
        <v>41671</v>
      </c>
      <c r="B244" s="5">
        <f>[1]mensual!$E280</f>
        <v>2.81345</v>
      </c>
      <c r="C244" s="5">
        <f t="shared" si="3"/>
        <v>0.13087438324022571</v>
      </c>
    </row>
    <row r="245" spans="1:3" x14ac:dyDescent="0.35">
      <c r="A245" s="2">
        <v>41699</v>
      </c>
      <c r="B245" s="5">
        <f>[1]mensual!$E281</f>
        <v>2.8070952380952399</v>
      </c>
      <c r="C245" s="5">
        <f t="shared" si="3"/>
        <v>-0.22587079581154512</v>
      </c>
    </row>
    <row r="246" spans="1:3" x14ac:dyDescent="0.35">
      <c r="A246" s="2">
        <v>41730</v>
      </c>
      <c r="B246" s="5">
        <f>[1]mensual!$E282</f>
        <v>2.7952499999999998</v>
      </c>
      <c r="C246" s="5">
        <f t="shared" si="3"/>
        <v>-0.42197492747975218</v>
      </c>
    </row>
    <row r="247" spans="1:3" x14ac:dyDescent="0.35">
      <c r="A247" s="2">
        <v>41760</v>
      </c>
      <c r="B247" s="5">
        <f>[1]mensual!$E283</f>
        <v>2.78776190476191</v>
      </c>
      <c r="C247" s="5">
        <f t="shared" si="3"/>
        <v>-0.26788642297074716</v>
      </c>
    </row>
    <row r="248" spans="1:3" x14ac:dyDescent="0.35">
      <c r="A248" s="2">
        <v>41791</v>
      </c>
      <c r="B248" s="5">
        <f>[1]mensual!$E284</f>
        <v>2.79514285714286</v>
      </c>
      <c r="C248" s="5">
        <f t="shared" si="3"/>
        <v>0.26476265309251801</v>
      </c>
    </row>
    <row r="249" spans="1:3" x14ac:dyDescent="0.35">
      <c r="A249" s="2">
        <v>41821</v>
      </c>
      <c r="B249" s="5">
        <f>[1]mensual!$E285</f>
        <v>2.7870476190476201</v>
      </c>
      <c r="C249" s="5">
        <f t="shared" si="3"/>
        <v>-0.2896180449079111</v>
      </c>
    </row>
    <row r="250" spans="1:3" x14ac:dyDescent="0.35">
      <c r="A250" s="2">
        <v>41852</v>
      </c>
      <c r="B250" s="5">
        <f>[1]mensual!$E286</f>
        <v>2.8154285714285701</v>
      </c>
      <c r="C250" s="5">
        <f t="shared" si="3"/>
        <v>1.018316019682814</v>
      </c>
    </row>
    <row r="251" spans="1:3" x14ac:dyDescent="0.35">
      <c r="A251" s="2">
        <v>41883</v>
      </c>
      <c r="B251" s="5">
        <f>[1]mensual!$E287</f>
        <v>2.86495454545455</v>
      </c>
      <c r="C251" s="5">
        <f t="shared" si="3"/>
        <v>1.7590918316514177</v>
      </c>
    </row>
    <row r="252" spans="1:3" x14ac:dyDescent="0.35">
      <c r="A252" s="2">
        <v>41913</v>
      </c>
      <c r="B252" s="5">
        <f>[1]mensual!$E288</f>
        <v>2.9072272727272699</v>
      </c>
      <c r="C252" s="5">
        <f t="shared" si="3"/>
        <v>1.4755112725885624</v>
      </c>
    </row>
    <row r="253" spans="1:3" x14ac:dyDescent="0.35">
      <c r="A253" s="2">
        <v>41944</v>
      </c>
      <c r="B253" s="5">
        <f>[1]mensual!$E289</f>
        <v>2.9262999999999999</v>
      </c>
      <c r="C253" s="5">
        <f t="shared" si="3"/>
        <v>0.65604527900696041</v>
      </c>
    </row>
    <row r="254" spans="1:3" x14ac:dyDescent="0.35">
      <c r="A254" s="2">
        <v>41974</v>
      </c>
      <c r="B254" s="5">
        <f>[1]mensual!$E290</f>
        <v>2.9631428571428602</v>
      </c>
      <c r="C254" s="5">
        <f t="shared" si="3"/>
        <v>1.2590252927881806</v>
      </c>
    </row>
    <row r="255" spans="1:3" x14ac:dyDescent="0.35">
      <c r="A255" s="2">
        <v>42005</v>
      </c>
      <c r="B255" s="5">
        <f>[1]mensual!$E291</f>
        <v>3.0069499999999998</v>
      </c>
      <c r="C255" s="5">
        <f t="shared" si="3"/>
        <v>1.478401311348847</v>
      </c>
    </row>
    <row r="256" spans="1:3" x14ac:dyDescent="0.35">
      <c r="A256" s="2">
        <v>42036</v>
      </c>
      <c r="B256" s="5">
        <f>[1]mensual!$E292</f>
        <v>3.0801500000000002</v>
      </c>
      <c r="C256" s="5">
        <f t="shared" si="3"/>
        <v>2.4343603984103765</v>
      </c>
    </row>
    <row r="257" spans="1:3" x14ac:dyDescent="0.35">
      <c r="A257" s="2">
        <v>42064</v>
      </c>
      <c r="B257" s="5">
        <f>[1]mensual!$E293</f>
        <v>3.0930909090909098</v>
      </c>
      <c r="C257" s="5">
        <f t="shared" si="3"/>
        <v>0.42013892475722514</v>
      </c>
    </row>
    <row r="258" spans="1:3" x14ac:dyDescent="0.35">
      <c r="A258" s="2">
        <v>42095</v>
      </c>
      <c r="B258" s="5">
        <f>[1]mensual!$E294</f>
        <v>3.1214499999999998</v>
      </c>
      <c r="C258" s="5">
        <f t="shared" si="3"/>
        <v>0.91685280978130379</v>
      </c>
    </row>
    <row r="259" spans="1:3" x14ac:dyDescent="0.35">
      <c r="A259" s="2">
        <v>42125</v>
      </c>
      <c r="B259" s="5">
        <f>[1]mensual!$E295</f>
        <v>3.1516999999999999</v>
      </c>
      <c r="C259" s="5">
        <f t="shared" si="3"/>
        <v>0.96910089862083737</v>
      </c>
    </row>
    <row r="260" spans="1:3" x14ac:dyDescent="0.35">
      <c r="A260" s="2">
        <v>42156</v>
      </c>
      <c r="B260" s="5">
        <f>[1]mensual!$E296</f>
        <v>3.16242857142857</v>
      </c>
      <c r="C260" s="5">
        <f t="shared" ref="C260:C323" si="4">100*B260/B259-100</f>
        <v>0.34040585806295098</v>
      </c>
    </row>
    <row r="261" spans="1:3" x14ac:dyDescent="0.35">
      <c r="A261" s="2">
        <v>42186</v>
      </c>
      <c r="B261" s="5">
        <f>[1]mensual!$E297</f>
        <v>3.1829000000000001</v>
      </c>
      <c r="C261" s="5">
        <f t="shared" si="4"/>
        <v>0.64733252021507326</v>
      </c>
    </row>
    <row r="262" spans="1:3" x14ac:dyDescent="0.35">
      <c r="A262" s="2">
        <v>42217</v>
      </c>
      <c r="B262" s="5">
        <f>[1]mensual!$E298</f>
        <v>3.24</v>
      </c>
      <c r="C262" s="5">
        <f t="shared" si="4"/>
        <v>1.7939614816676652</v>
      </c>
    </row>
    <row r="263" spans="1:3" x14ac:dyDescent="0.35">
      <c r="A263" s="2">
        <v>42248</v>
      </c>
      <c r="B263" s="5">
        <f>[1]mensual!$E299</f>
        <v>3.2204999999999999</v>
      </c>
      <c r="C263" s="5">
        <f t="shared" si="4"/>
        <v>-0.60185185185186185</v>
      </c>
    </row>
    <row r="264" spans="1:3" x14ac:dyDescent="0.35">
      <c r="A264" s="2">
        <v>42278</v>
      </c>
      <c r="B264" s="5">
        <f>[1]mensual!$E300</f>
        <v>3.2503000000000002</v>
      </c>
      <c r="C264" s="5">
        <f t="shared" si="4"/>
        <v>0.92532215494489378</v>
      </c>
    </row>
    <row r="265" spans="1:3" x14ac:dyDescent="0.35">
      <c r="A265" s="2">
        <v>42309</v>
      </c>
      <c r="B265" s="5">
        <f>[1]mensual!$E301</f>
        <v>3.3385238095238101</v>
      </c>
      <c r="C265" s="5">
        <f t="shared" si="4"/>
        <v>2.7143282012063423</v>
      </c>
    </row>
    <row r="266" spans="1:3" x14ac:dyDescent="0.35">
      <c r="A266" s="2">
        <v>42339</v>
      </c>
      <c r="B266" s="5">
        <f>[1]mensual!$E302</f>
        <v>3.3850952380952402</v>
      </c>
      <c r="C266" s="5">
        <f t="shared" si="4"/>
        <v>1.3949706884993844</v>
      </c>
    </row>
    <row r="267" spans="1:3" x14ac:dyDescent="0.35">
      <c r="A267" s="2">
        <v>42370</v>
      </c>
      <c r="B267" s="5">
        <f>[1]mensual!$E303</f>
        <v>3.43885</v>
      </c>
      <c r="C267" s="5">
        <f t="shared" si="4"/>
        <v>1.5879837382361757</v>
      </c>
    </row>
    <row r="268" spans="1:3" x14ac:dyDescent="0.35">
      <c r="A268" s="2">
        <v>42401</v>
      </c>
      <c r="B268" s="5">
        <f>[1]mensual!$E304</f>
        <v>3.5075238095238102</v>
      </c>
      <c r="C268" s="5">
        <f t="shared" si="4"/>
        <v>1.9969992737051712</v>
      </c>
    </row>
    <row r="269" spans="1:3" x14ac:dyDescent="0.35">
      <c r="A269" s="2">
        <v>42430</v>
      </c>
      <c r="B269" s="5">
        <f>[1]mensual!$E305</f>
        <v>3.4098095238095198</v>
      </c>
      <c r="C269" s="5">
        <f t="shared" si="4"/>
        <v>-2.785848108827409</v>
      </c>
    </row>
    <row r="270" spans="1:3" x14ac:dyDescent="0.35">
      <c r="A270" s="2">
        <v>42461</v>
      </c>
      <c r="B270" s="5">
        <f>[1]mensual!$E306</f>
        <v>3.3033333333333301</v>
      </c>
      <c r="C270" s="5">
        <f t="shared" si="4"/>
        <v>-3.1226433539088703</v>
      </c>
    </row>
    <row r="271" spans="1:3" x14ac:dyDescent="0.35">
      <c r="A271" s="2">
        <v>42491</v>
      </c>
      <c r="B271" s="5">
        <f>[1]mensual!$E307</f>
        <v>3.3361818181818199</v>
      </c>
      <c r="C271" s="5">
        <f t="shared" si="4"/>
        <v>0.99440418310261691</v>
      </c>
    </row>
    <row r="272" spans="1:3" x14ac:dyDescent="0.35">
      <c r="A272" s="2">
        <v>42522</v>
      </c>
      <c r="B272" s="5">
        <f>[1]mensual!$E308</f>
        <v>3.3184285714285702</v>
      </c>
      <c r="C272" s="5">
        <f t="shared" si="4"/>
        <v>-0.5321426625040715</v>
      </c>
    </row>
    <row r="273" spans="1:3" x14ac:dyDescent="0.35">
      <c r="A273" s="2">
        <v>42552</v>
      </c>
      <c r="B273" s="5">
        <f>[1]mensual!$E309</f>
        <v>3.3007368421052599</v>
      </c>
      <c r="C273" s="5">
        <f t="shared" si="4"/>
        <v>-0.53313575816079606</v>
      </c>
    </row>
    <row r="274" spans="1:3" x14ac:dyDescent="0.35">
      <c r="A274" s="2">
        <v>42583</v>
      </c>
      <c r="B274" s="5">
        <f>[1]mensual!$E310</f>
        <v>3.3353636363636401</v>
      </c>
      <c r="C274" s="5">
        <f t="shared" si="4"/>
        <v>1.0490625552655217</v>
      </c>
    </row>
    <row r="275" spans="1:3" x14ac:dyDescent="0.35">
      <c r="A275" s="2">
        <v>42614</v>
      </c>
      <c r="B275" s="5">
        <f>[1]mensual!$E311</f>
        <v>3.3844545454545498</v>
      </c>
      <c r="C275" s="5">
        <f t="shared" si="4"/>
        <v>1.4718307939709661</v>
      </c>
    </row>
    <row r="276" spans="1:3" x14ac:dyDescent="0.35">
      <c r="A276" s="2">
        <v>42644</v>
      </c>
      <c r="B276" s="5">
        <f>[1]mensual!$E312</f>
        <v>3.3877142857142899</v>
      </c>
      <c r="C276" s="5">
        <f t="shared" si="4"/>
        <v>9.6315084630646197E-2</v>
      </c>
    </row>
    <row r="277" spans="1:3" x14ac:dyDescent="0.35">
      <c r="A277" s="2">
        <v>42675</v>
      </c>
      <c r="B277" s="5">
        <f>[1]mensual!$E313</f>
        <v>3.4051578947368402</v>
      </c>
      <c r="C277" s="5">
        <f t="shared" si="4"/>
        <v>0.51490791582125439</v>
      </c>
    </row>
    <row r="278" spans="1:3" x14ac:dyDescent="0.35">
      <c r="A278" s="2">
        <v>42705</v>
      </c>
      <c r="B278" s="5">
        <f>[1]mensual!$E314</f>
        <v>3.3979523809523799</v>
      </c>
      <c r="C278" s="5">
        <f t="shared" si="4"/>
        <v>-0.2116058640216778</v>
      </c>
    </row>
    <row r="279" spans="1:3" x14ac:dyDescent="0.35">
      <c r="A279" s="2">
        <v>42736</v>
      </c>
      <c r="B279" s="5">
        <f>[1]mensual!$E315</f>
        <v>3.3419090909090898</v>
      </c>
      <c r="C279" s="5">
        <f t="shared" si="4"/>
        <v>-1.6493253512747117</v>
      </c>
    </row>
    <row r="280" spans="1:3" x14ac:dyDescent="0.35">
      <c r="A280" s="2">
        <v>42767</v>
      </c>
      <c r="B280" s="5">
        <f>[1]mensual!$E316</f>
        <v>3.2618499999999999</v>
      </c>
      <c r="C280" s="5">
        <f t="shared" si="4"/>
        <v>-2.3956094774352863</v>
      </c>
    </row>
    <row r="281" spans="1:3" x14ac:dyDescent="0.35">
      <c r="A281" s="2">
        <v>42795</v>
      </c>
      <c r="B281" s="5">
        <f>[1]mensual!$E317</f>
        <v>3.2654782608695601</v>
      </c>
      <c r="C281" s="5">
        <f t="shared" si="4"/>
        <v>0.11123322254425716</v>
      </c>
    </row>
    <row r="282" spans="1:3" x14ac:dyDescent="0.35">
      <c r="A282" s="2">
        <v>42826</v>
      </c>
      <c r="B282" s="5">
        <f>[1]mensual!$E318</f>
        <v>3.24877777777778</v>
      </c>
      <c r="C282" s="5">
        <f t="shared" si="4"/>
        <v>-0.51142533367631415</v>
      </c>
    </row>
    <row r="283" spans="1:3" x14ac:dyDescent="0.35">
      <c r="A283" s="2">
        <v>42856</v>
      </c>
      <c r="B283" s="5">
        <f>[1]mensual!$E319</f>
        <v>3.2745454545454602</v>
      </c>
      <c r="C283" s="5">
        <f t="shared" si="4"/>
        <v>0.79314987143582982</v>
      </c>
    </row>
    <row r="284" spans="1:3" x14ac:dyDescent="0.35">
      <c r="A284" s="2">
        <v>42887</v>
      </c>
      <c r="B284" s="5">
        <f>[1]mensual!$E320</f>
        <v>3.26945</v>
      </c>
      <c r="C284" s="5">
        <f t="shared" si="4"/>
        <v>-0.15560799555819926</v>
      </c>
    </row>
    <row r="285" spans="1:3" x14ac:dyDescent="0.35">
      <c r="A285" s="2">
        <v>42917</v>
      </c>
      <c r="B285" s="5">
        <f>[1]mensual!$E321</f>
        <v>3.25047368421053</v>
      </c>
      <c r="C285" s="5">
        <f t="shared" si="4"/>
        <v>-0.58041309056476109</v>
      </c>
    </row>
    <row r="286" spans="1:3" x14ac:dyDescent="0.35">
      <c r="A286" s="2">
        <v>42948</v>
      </c>
      <c r="B286" s="5">
        <f>[1]mensual!$E322</f>
        <v>3.2428181818181798</v>
      </c>
      <c r="C286" s="5">
        <f t="shared" si="4"/>
        <v>-0.23551959302231751</v>
      </c>
    </row>
    <row r="287" spans="1:3" x14ac:dyDescent="0.35">
      <c r="A287" s="2">
        <v>42979</v>
      </c>
      <c r="B287" s="5">
        <f>[1]mensual!$E323</f>
        <v>3.2475714285714301</v>
      </c>
      <c r="C287" s="5">
        <f t="shared" si="4"/>
        <v>0.14657765211447327</v>
      </c>
    </row>
    <row r="288" spans="1:3" x14ac:dyDescent="0.35">
      <c r="A288" s="2">
        <v>43009</v>
      </c>
      <c r="B288" s="5">
        <f>[1]mensual!$E324</f>
        <v>3.2524545454545501</v>
      </c>
      <c r="C288" s="5">
        <f t="shared" si="4"/>
        <v>0.15036210874869482</v>
      </c>
    </row>
    <row r="289" spans="1:3" x14ac:dyDescent="0.35">
      <c r="A289" s="2">
        <v>43040</v>
      </c>
      <c r="B289" s="5">
        <f>[1]mensual!$E325</f>
        <v>3.2423333333333302</v>
      </c>
      <c r="C289" s="5">
        <f t="shared" si="4"/>
        <v>-0.31118688915621817</v>
      </c>
    </row>
    <row r="290" spans="1:3" x14ac:dyDescent="0.35">
      <c r="A290" s="2">
        <v>43070</v>
      </c>
      <c r="B290" s="5">
        <f>[1]mensual!$E326</f>
        <v>3.24831578947368</v>
      </c>
      <c r="C290" s="5">
        <f t="shared" si="4"/>
        <v>0.18451082986584311</v>
      </c>
    </row>
    <row r="291" spans="1:3" x14ac:dyDescent="0.35">
      <c r="A291" s="2">
        <v>43101</v>
      </c>
      <c r="B291" s="5">
        <f>[1]mensual!$E327</f>
        <v>3.2166190476190502</v>
      </c>
      <c r="C291" s="5">
        <f t="shared" si="4"/>
        <v>-0.97579003732779768</v>
      </c>
    </row>
    <row r="292" spans="1:3" x14ac:dyDescent="0.35">
      <c r="A292" s="2">
        <v>43132</v>
      </c>
      <c r="B292" s="5">
        <f>[1]mensual!$E328</f>
        <v>3.2495500000000002</v>
      </c>
      <c r="C292" s="5">
        <f t="shared" si="4"/>
        <v>1.0237753334615718</v>
      </c>
    </row>
    <row r="293" spans="1:3" x14ac:dyDescent="0.35">
      <c r="A293" s="2">
        <v>43160</v>
      </c>
      <c r="B293" s="5">
        <f>[1]mensual!$E329</f>
        <v>3.25325</v>
      </c>
      <c r="C293" s="5">
        <f t="shared" si="4"/>
        <v>0.11386191934266776</v>
      </c>
    </row>
    <row r="294" spans="1:3" x14ac:dyDescent="0.35">
      <c r="A294" s="2">
        <v>43191</v>
      </c>
      <c r="B294" s="5">
        <f>[1]mensual!$E330</f>
        <v>3.2316500000000001</v>
      </c>
      <c r="C294" s="5">
        <f t="shared" si="4"/>
        <v>-0.66395143318219141</v>
      </c>
    </row>
    <row r="295" spans="1:3" x14ac:dyDescent="0.35">
      <c r="A295" s="2">
        <v>43221</v>
      </c>
      <c r="B295" s="5">
        <f>[1]mensual!$E331</f>
        <v>3.2748636363636399</v>
      </c>
      <c r="C295" s="5">
        <f t="shared" si="4"/>
        <v>1.3372003887685793</v>
      </c>
    </row>
    <row r="296" spans="1:3" x14ac:dyDescent="0.35">
      <c r="A296" s="2">
        <v>43252</v>
      </c>
      <c r="B296" s="5">
        <f>[1]mensual!$E332</f>
        <v>3.2722000000000002</v>
      </c>
      <c r="C296" s="5">
        <f t="shared" si="4"/>
        <v>-8.1335794689678664E-2</v>
      </c>
    </row>
    <row r="297" spans="1:3" x14ac:dyDescent="0.35">
      <c r="A297" s="2">
        <v>43282</v>
      </c>
      <c r="B297" s="5">
        <f>[1]mensual!$E333</f>
        <v>3.2785238095238101</v>
      </c>
      <c r="C297" s="5">
        <f t="shared" si="4"/>
        <v>0.19325864934324954</v>
      </c>
    </row>
    <row r="298" spans="1:3" x14ac:dyDescent="0.35">
      <c r="A298" s="2">
        <v>43313</v>
      </c>
      <c r="B298" s="5">
        <f>[1]mensual!$E334</f>
        <v>3.2896190476190501</v>
      </c>
      <c r="C298" s="5">
        <f t="shared" si="4"/>
        <v>0.33842176356961318</v>
      </c>
    </row>
    <row r="299" spans="1:3" x14ac:dyDescent="0.35">
      <c r="A299" s="2">
        <v>43344</v>
      </c>
      <c r="B299" s="5">
        <f>[1]mensual!$E335</f>
        <v>3.3128500000000001</v>
      </c>
      <c r="C299" s="5">
        <f t="shared" si="4"/>
        <v>0.706189745519751</v>
      </c>
    </row>
    <row r="300" spans="1:3" x14ac:dyDescent="0.35">
      <c r="A300" s="2">
        <v>43374</v>
      </c>
      <c r="B300" s="5">
        <f>[1]mensual!$E336</f>
        <v>3.3353636363636401</v>
      </c>
      <c r="C300" s="5">
        <f t="shared" si="4"/>
        <v>0.67958514160436323</v>
      </c>
    </row>
    <row r="301" spans="1:3" x14ac:dyDescent="0.35">
      <c r="A301" s="2">
        <v>43405</v>
      </c>
      <c r="B301" s="5">
        <f>[1]mensual!$E337</f>
        <v>3.3767999999999998</v>
      </c>
      <c r="C301" s="5">
        <f t="shared" si="4"/>
        <v>1.2423342146146297</v>
      </c>
    </row>
    <row r="302" spans="1:3" x14ac:dyDescent="0.35">
      <c r="A302" s="2">
        <v>43435</v>
      </c>
      <c r="B302" s="5">
        <f>[1]mensual!$E338</f>
        <v>3.3663157894736799</v>
      </c>
      <c r="C302" s="5">
        <f t="shared" si="4"/>
        <v>-0.31047768675432508</v>
      </c>
    </row>
    <row r="303" spans="1:3" x14ac:dyDescent="0.35">
      <c r="A303" s="2">
        <v>43466</v>
      </c>
      <c r="B303" s="5">
        <f>[1]mensual!$E339</f>
        <v>3.3453636363636399</v>
      </c>
      <c r="C303" s="5">
        <f t="shared" si="4"/>
        <v>-0.62240604923508158</v>
      </c>
    </row>
    <row r="304" spans="1:3" x14ac:dyDescent="0.35">
      <c r="A304" s="2">
        <v>43497</v>
      </c>
      <c r="B304" s="5">
        <f>[1]mensual!$E340</f>
        <v>3.3231000000000002</v>
      </c>
      <c r="C304" s="5">
        <f t="shared" si="4"/>
        <v>-0.66550721487007536</v>
      </c>
    </row>
    <row r="305" spans="1:3" x14ac:dyDescent="0.35">
      <c r="A305" s="2">
        <v>43525</v>
      </c>
      <c r="B305" s="5">
        <f>[1]mensual!$E341</f>
        <v>3.3062380952381001</v>
      </c>
      <c r="C305" s="5">
        <f t="shared" si="4"/>
        <v>-0.50741490662032618</v>
      </c>
    </row>
    <row r="306" spans="1:3" x14ac:dyDescent="0.35">
      <c r="A306" s="2">
        <v>43556</v>
      </c>
      <c r="B306" s="5">
        <f>[1]mensual!$E342</f>
        <v>3.3056000000000001</v>
      </c>
      <c r="C306" s="5">
        <f t="shared" si="4"/>
        <v>-1.9299736429118752E-2</v>
      </c>
    </row>
    <row r="307" spans="1:3" x14ac:dyDescent="0.35">
      <c r="A307" s="2">
        <v>43586</v>
      </c>
      <c r="B307" s="5">
        <f>[1]mensual!$E343</f>
        <v>3.3341818181818201</v>
      </c>
      <c r="C307" s="5">
        <f t="shared" si="4"/>
        <v>0.86464842031159606</v>
      </c>
    </row>
    <row r="308" spans="1:3" x14ac:dyDescent="0.35">
      <c r="A308" s="2">
        <v>43617</v>
      </c>
      <c r="B308" s="5">
        <f>[1]mensual!$E344</f>
        <v>3.3274499999999998</v>
      </c>
      <c r="C308" s="5">
        <f t="shared" si="4"/>
        <v>-0.20190315192502339</v>
      </c>
    </row>
    <row r="309" spans="1:3" x14ac:dyDescent="0.35">
      <c r="A309" s="2">
        <v>43647</v>
      </c>
      <c r="B309" s="5">
        <f>[1]mensual!$E345</f>
        <v>3.2920952380952402</v>
      </c>
      <c r="C309" s="5">
        <f t="shared" si="4"/>
        <v>-1.0625182017689099</v>
      </c>
    </row>
    <row r="310" spans="1:3" x14ac:dyDescent="0.35">
      <c r="A310" s="2">
        <v>43678</v>
      </c>
      <c r="B310" s="5">
        <f>[1]mensual!$E346</f>
        <v>3.3793199999999999</v>
      </c>
      <c r="C310" s="5">
        <f t="shared" si="4"/>
        <v>2.6495212196603148</v>
      </c>
    </row>
    <row r="311" spans="1:3" x14ac:dyDescent="0.35">
      <c r="A311" s="2">
        <v>43709</v>
      </c>
      <c r="B311" s="5">
        <f>[1]mensual!$E347</f>
        <v>3.3591428571428601</v>
      </c>
      <c r="C311" s="5">
        <f t="shared" si="4"/>
        <v>-0.59707701126676227</v>
      </c>
    </row>
    <row r="312" spans="1:3" x14ac:dyDescent="0.35">
      <c r="A312" s="2">
        <v>43739</v>
      </c>
      <c r="B312" s="5">
        <f>[1]mensual!$E348</f>
        <v>3.3615238095238098</v>
      </c>
      <c r="C312" s="5">
        <f t="shared" si="4"/>
        <v>7.0879759575788626E-2</v>
      </c>
    </row>
    <row r="313" spans="1:3" x14ac:dyDescent="0.35">
      <c r="A313" s="2">
        <v>43770</v>
      </c>
      <c r="B313" s="5">
        <f>[1]mensual!$E349</f>
        <v>3.3736999999999999</v>
      </c>
      <c r="C313" s="5">
        <f t="shared" si="4"/>
        <v>0.36222234814142951</v>
      </c>
    </row>
    <row r="314" spans="1:3" x14ac:dyDescent="0.35">
      <c r="A314" s="2">
        <v>43800</v>
      </c>
      <c r="B314" s="5">
        <f>[1]mensual!$E350</f>
        <v>3.3573809523809501</v>
      </c>
      <c r="C314" s="5">
        <f t="shared" si="4"/>
        <v>-0.48371365619497908</v>
      </c>
    </row>
    <row r="315" spans="1:3" x14ac:dyDescent="0.35">
      <c r="A315" s="2">
        <v>43831</v>
      </c>
      <c r="B315" s="5">
        <f>[1]mensual!$E351</f>
        <v>3.3289090909090899</v>
      </c>
      <c r="C315" s="5">
        <f t="shared" si="4"/>
        <v>-0.84803785676059817</v>
      </c>
    </row>
    <row r="316" spans="1:3" x14ac:dyDescent="0.35">
      <c r="A316" s="2">
        <v>43862</v>
      </c>
      <c r="B316" s="5">
        <f>[1]mensual!$E352</f>
        <v>3.39175</v>
      </c>
      <c r="C316" s="5">
        <f t="shared" si="4"/>
        <v>1.887732809001065</v>
      </c>
    </row>
    <row r="317" spans="1:3" x14ac:dyDescent="0.35">
      <c r="A317" s="2">
        <v>43891</v>
      </c>
      <c r="B317" s="5">
        <f>[1]mensual!$E353</f>
        <v>3.4937727272727299</v>
      </c>
      <c r="C317" s="5">
        <f t="shared" si="4"/>
        <v>3.0079671931224254</v>
      </c>
    </row>
    <row r="318" spans="1:3" x14ac:dyDescent="0.35">
      <c r="A318" s="2">
        <v>43922</v>
      </c>
      <c r="B318" s="5">
        <f>[1]mensual!$E354</f>
        <v>3.4001999999999999</v>
      </c>
      <c r="C318" s="5">
        <f t="shared" si="4"/>
        <v>-2.6782717302213825</v>
      </c>
    </row>
    <row r="319" spans="1:3" x14ac:dyDescent="0.35">
      <c r="A319" s="2">
        <v>43952</v>
      </c>
      <c r="B319" s="5">
        <f>[1]mensual!$E355</f>
        <v>3.4235500000000001</v>
      </c>
      <c r="C319" s="5">
        <f t="shared" si="4"/>
        <v>0.6867243103346965</v>
      </c>
    </row>
    <row r="320" spans="1:3" x14ac:dyDescent="0.35">
      <c r="A320" s="2">
        <v>43983</v>
      </c>
      <c r="B320" s="5">
        <f>[1]mensual!$E356</f>
        <v>3.4718571428571399</v>
      </c>
      <c r="C320" s="5">
        <f t="shared" si="4"/>
        <v>1.4110248968801216</v>
      </c>
    </row>
    <row r="321" spans="1:3" x14ac:dyDescent="0.35">
      <c r="A321" s="2">
        <v>44013</v>
      </c>
      <c r="B321" s="5">
        <f>[1]mensual!$E357</f>
        <v>3.5191818181818202</v>
      </c>
      <c r="C321" s="5">
        <f t="shared" si="4"/>
        <v>1.3630939689452362</v>
      </c>
    </row>
    <row r="322" spans="1:3" x14ac:dyDescent="0.35">
      <c r="A322" s="2">
        <v>44044</v>
      </c>
      <c r="B322" s="5">
        <f>[1]mensual!$E358</f>
        <v>3.5659047619047599</v>
      </c>
      <c r="C322" s="5">
        <f t="shared" si="4"/>
        <v>1.327664955574221</v>
      </c>
    </row>
    <row r="323" spans="1:3" x14ac:dyDescent="0.35">
      <c r="A323" s="2">
        <v>44075</v>
      </c>
      <c r="B323" s="5">
        <f>[1]mensual!$E359</f>
        <v>3.5570454545454502</v>
      </c>
      <c r="C323" s="5">
        <f t="shared" si="4"/>
        <v>-0.2484448674556603</v>
      </c>
    </row>
    <row r="324" spans="1:3" x14ac:dyDescent="0.35">
      <c r="A324" s="2">
        <v>44105</v>
      </c>
      <c r="B324" s="5">
        <f>[1]mensual!$E360</f>
        <v>3.59777272727273</v>
      </c>
      <c r="C324" s="5">
        <f t="shared" ref="C324:C387" si="5">100*B324/B323-100</f>
        <v>1.144974761996238</v>
      </c>
    </row>
    <row r="325" spans="1:3" x14ac:dyDescent="0.35">
      <c r="A325" s="2">
        <v>44136</v>
      </c>
      <c r="B325" s="5">
        <f>[1]mensual!$E361</f>
        <v>3.6109047619047598</v>
      </c>
      <c r="C325" s="5">
        <f t="shared" si="5"/>
        <v>0.36500456330894337</v>
      </c>
    </row>
    <row r="326" spans="1:3" x14ac:dyDescent="0.35">
      <c r="A326" s="2">
        <v>44166</v>
      </c>
      <c r="B326" s="5">
        <f>[1]mensual!$E362</f>
        <v>3.6055714285714302</v>
      </c>
      <c r="C326" s="5">
        <f t="shared" si="5"/>
        <v>-0.14770074773493036</v>
      </c>
    </row>
    <row r="327" spans="1:3" x14ac:dyDescent="0.35">
      <c r="A327" s="2">
        <v>44197</v>
      </c>
      <c r="B327" s="5">
        <f>[1]mensual!$E363</f>
        <v>3.6265999999999998</v>
      </c>
      <c r="C327" s="5">
        <f t="shared" si="5"/>
        <v>0.5832243749751882</v>
      </c>
    </row>
    <row r="328" spans="1:3" x14ac:dyDescent="0.35">
      <c r="A328" s="2">
        <v>44228</v>
      </c>
      <c r="B328" s="5">
        <f>[1]mensual!$E364</f>
        <v>3.6475499999999998</v>
      </c>
      <c r="C328" s="5">
        <f t="shared" si="5"/>
        <v>0.57767606022170526</v>
      </c>
    </row>
    <row r="329" spans="1:3" x14ac:dyDescent="0.35">
      <c r="A329" s="2">
        <v>44256</v>
      </c>
      <c r="B329" s="5">
        <f>[1]mensual!$E365</f>
        <v>3.7103478260869598</v>
      </c>
      <c r="C329" s="5">
        <f t="shared" si="5"/>
        <v>1.721644010005619</v>
      </c>
    </row>
    <row r="330" spans="1:3" x14ac:dyDescent="0.35">
      <c r="A330" s="2">
        <v>44287</v>
      </c>
      <c r="B330" s="5">
        <f>[1]mensual!$E366</f>
        <v>3.7035999999999998</v>
      </c>
      <c r="C330" s="5">
        <f t="shared" si="5"/>
        <v>-0.18186505425494204</v>
      </c>
    </row>
    <row r="331" spans="1:3" x14ac:dyDescent="0.35">
      <c r="A331" s="2">
        <v>44317</v>
      </c>
      <c r="B331" s="5">
        <f>[1]mensual!$E367</f>
        <v>3.7763809523809502</v>
      </c>
      <c r="C331" s="5">
        <f t="shared" si="5"/>
        <v>1.9651407382263244</v>
      </c>
    </row>
    <row r="332" spans="1:3" x14ac:dyDescent="0.35">
      <c r="A332" s="2">
        <v>44348</v>
      </c>
      <c r="B332" s="5">
        <f>[1]mensual!$E368</f>
        <v>3.9157619047619101</v>
      </c>
      <c r="C332" s="5">
        <f t="shared" si="5"/>
        <v>3.690860486230406</v>
      </c>
    </row>
    <row r="333" spans="1:3" x14ac:dyDescent="0.35">
      <c r="A333" s="2">
        <v>44378</v>
      </c>
      <c r="B333" s="5">
        <f>[1]mensual!$E369</f>
        <v>3.9445000000000001</v>
      </c>
      <c r="C333" s="5">
        <f t="shared" si="5"/>
        <v>0.73390813683390377</v>
      </c>
    </row>
    <row r="334" spans="1:3" x14ac:dyDescent="0.35">
      <c r="A334" s="2">
        <v>44409</v>
      </c>
      <c r="B334" s="5">
        <f>[1]mensual!$E370</f>
        <v>4.09</v>
      </c>
      <c r="C334" s="5">
        <f t="shared" si="5"/>
        <v>3.6886804411205389</v>
      </c>
    </row>
    <row r="335" spans="1:3" x14ac:dyDescent="0.35">
      <c r="A335" s="2">
        <v>44440</v>
      </c>
      <c r="B335" s="5">
        <f>[1]mensual!$E371</f>
        <v>4.1106363636363596</v>
      </c>
      <c r="C335" s="5">
        <f t="shared" si="5"/>
        <v>0.50455656812616212</v>
      </c>
    </row>
    <row r="336" spans="1:3" x14ac:dyDescent="0.35">
      <c r="A336" s="2">
        <v>44470</v>
      </c>
      <c r="B336" s="5">
        <f>[1]mensual!$E372</f>
        <v>4.0186999999999999</v>
      </c>
      <c r="C336" s="5">
        <f t="shared" si="5"/>
        <v>-2.2365482008978006</v>
      </c>
    </row>
    <row r="337" spans="1:3" x14ac:dyDescent="0.35">
      <c r="A337" s="2">
        <v>44501</v>
      </c>
      <c r="B337" s="5">
        <f>[1]mensual!$E373</f>
        <v>4.0233333333333299</v>
      </c>
      <c r="C337" s="5">
        <f t="shared" si="5"/>
        <v>0.11529433232959718</v>
      </c>
    </row>
    <row r="338" spans="1:3" x14ac:dyDescent="0.35">
      <c r="A338" s="2">
        <v>44531</v>
      </c>
      <c r="B338" s="5">
        <f>[1]mensual!$E374</f>
        <v>4.0423181818181799</v>
      </c>
      <c r="C338" s="5">
        <f t="shared" si="5"/>
        <v>0.4718686450252676</v>
      </c>
    </row>
    <row r="339" spans="1:3" x14ac:dyDescent="0.35">
      <c r="A339" s="2">
        <v>44562</v>
      </c>
      <c r="B339" s="5">
        <f>[1]mensual!$E375</f>
        <v>3.8934761904761901</v>
      </c>
      <c r="C339" s="5">
        <f t="shared" si="5"/>
        <v>-3.6820948932585793</v>
      </c>
    </row>
    <row r="340" spans="1:3" x14ac:dyDescent="0.35">
      <c r="A340" s="2">
        <v>44593</v>
      </c>
      <c r="B340" s="5">
        <f>[1]mensual!$E376</f>
        <v>3.7951999999999999</v>
      </c>
      <c r="C340" s="5">
        <f t="shared" si="5"/>
        <v>-2.5241246040384908</v>
      </c>
    </row>
    <row r="341" spans="1:3" x14ac:dyDescent="0.35">
      <c r="A341" s="2">
        <v>44621</v>
      </c>
      <c r="B341" s="5">
        <f>[1]mensual!$E377</f>
        <v>3.7429130434782598</v>
      </c>
      <c r="C341" s="5">
        <f t="shared" si="5"/>
        <v>-1.3777128088569839</v>
      </c>
    </row>
    <row r="342" spans="1:3" x14ac:dyDescent="0.35">
      <c r="A342" s="2">
        <v>44652</v>
      </c>
      <c r="B342" s="5">
        <f>[1]mensual!$E378</f>
        <v>3.7441578947368401</v>
      </c>
      <c r="C342" s="5">
        <f t="shared" si="5"/>
        <v>3.3258888040407442E-2</v>
      </c>
    </row>
    <row r="343" spans="1:3" x14ac:dyDescent="0.35">
      <c r="A343" s="2">
        <v>44682</v>
      </c>
      <c r="B343" s="5">
        <f>[1]mensual!$E379</f>
        <v>3.7614999999999998</v>
      </c>
      <c r="C343" s="5">
        <f t="shared" si="5"/>
        <v>0.46317772248700351</v>
      </c>
    </row>
    <row r="344" spans="1:3" x14ac:dyDescent="0.35">
      <c r="A344" s="2">
        <v>44713</v>
      </c>
      <c r="B344" s="5">
        <f>[1]mensual!$E380</f>
        <v>3.75171428571428</v>
      </c>
      <c r="C344" s="5">
        <f t="shared" si="5"/>
        <v>-0.26015457359351046</v>
      </c>
    </row>
    <row r="345" spans="1:3" x14ac:dyDescent="0.35">
      <c r="A345" s="2">
        <v>44743</v>
      </c>
      <c r="B345" s="5">
        <f>[1]mensual!$E381</f>
        <v>3.9070526315789502</v>
      </c>
      <c r="C345" s="5">
        <f t="shared" si="5"/>
        <v>4.1404631065901043</v>
      </c>
    </row>
    <row r="346" spans="1:3" x14ac:dyDescent="0.35">
      <c r="A346" s="2">
        <v>44774</v>
      </c>
      <c r="B346" s="5">
        <f>[1]mensual!$E382</f>
        <v>3.87768181818182</v>
      </c>
      <c r="C346" s="5">
        <f t="shared" si="5"/>
        <v>-0.75173836051602905</v>
      </c>
    </row>
    <row r="347" spans="1:3" x14ac:dyDescent="0.35">
      <c r="A347" s="2">
        <v>44805</v>
      </c>
      <c r="B347" s="5">
        <f>[1]mensual!$E383</f>
        <v>3.9013181818181799</v>
      </c>
      <c r="C347" s="5">
        <f t="shared" si="5"/>
        <v>0.60954881665465166</v>
      </c>
    </row>
    <row r="348" spans="1:3" x14ac:dyDescent="0.35">
      <c r="A348" s="2">
        <v>44835</v>
      </c>
      <c r="B348" s="5">
        <f>[1]mensual!$E384</f>
        <v>3.9821428571428599</v>
      </c>
      <c r="C348" s="5">
        <f t="shared" si="5"/>
        <v>2.071727338245779</v>
      </c>
    </row>
    <row r="349" spans="1:3" x14ac:dyDescent="0.35">
      <c r="A349" s="2">
        <v>44866</v>
      </c>
      <c r="B349" s="5">
        <f>[1]mensual!$E385</f>
        <v>3.8809047619047599</v>
      </c>
      <c r="C349" s="5">
        <f t="shared" si="5"/>
        <v>-2.5423019431989218</v>
      </c>
    </row>
    <row r="350" spans="1:3" x14ac:dyDescent="0.35">
      <c r="A350" s="2">
        <v>44896</v>
      </c>
      <c r="B350" s="5">
        <f>[1]mensual!$E386</f>
        <v>3.8345500000000001</v>
      </c>
      <c r="C350" s="5">
        <f t="shared" si="5"/>
        <v>-1.19443183351936</v>
      </c>
    </row>
    <row r="351" spans="1:3" x14ac:dyDescent="0.35">
      <c r="A351" s="2">
        <v>44927</v>
      </c>
      <c r="B351" s="5">
        <f>[1]mensual!$E387</f>
        <v>3.83580952380952</v>
      </c>
      <c r="C351" s="5">
        <f t="shared" si="5"/>
        <v>3.284671759449509E-2</v>
      </c>
    </row>
    <row r="352" spans="1:3" x14ac:dyDescent="0.35">
      <c r="A352" s="2">
        <v>44958</v>
      </c>
      <c r="B352" s="5">
        <f>[1]mensual!$E388</f>
        <v>3.8438500000000002</v>
      </c>
      <c r="C352" s="5">
        <f t="shared" si="5"/>
        <v>0.20961614857495192</v>
      </c>
    </row>
    <row r="353" spans="1:3" x14ac:dyDescent="0.35">
      <c r="A353" s="2">
        <v>44986</v>
      </c>
      <c r="B353" s="5">
        <f>[1]mensual!$E389</f>
        <v>3.78230434782609</v>
      </c>
      <c r="C353" s="5">
        <f t="shared" si="5"/>
        <v>-1.601146043001421</v>
      </c>
    </row>
    <row r="354" spans="1:3" x14ac:dyDescent="0.35">
      <c r="A354" s="2">
        <v>45017</v>
      </c>
      <c r="B354" s="5">
        <f>[1]mensual!$E390</f>
        <v>3.76877777777778</v>
      </c>
      <c r="C354" s="5">
        <f t="shared" si="5"/>
        <v>-0.3576277529354428</v>
      </c>
    </row>
    <row r="355" spans="1:3" x14ac:dyDescent="0.35">
      <c r="A355" s="2">
        <v>45047</v>
      </c>
      <c r="B355" s="5">
        <f>[1]mensual!$E391</f>
        <v>3.69222727272727</v>
      </c>
      <c r="C355" s="5">
        <f t="shared" si="5"/>
        <v>-2.0311758762185974</v>
      </c>
    </row>
    <row r="356" spans="1:3" x14ac:dyDescent="0.35">
      <c r="A356" s="2">
        <v>45078</v>
      </c>
      <c r="B356" s="5">
        <f>[1]mensual!$E392</f>
        <v>3.65480952380952</v>
      </c>
      <c r="C356" s="5">
        <f t="shared" si="5"/>
        <v>-1.0134194391048794</v>
      </c>
    </row>
    <row r="357" spans="1:3" x14ac:dyDescent="0.35">
      <c r="A357" s="2">
        <v>45108</v>
      </c>
      <c r="B357" s="5">
        <f>[1]mensual!$E393</f>
        <v>3.6058500000000002</v>
      </c>
      <c r="C357" s="5">
        <f t="shared" si="5"/>
        <v>-1.339591666557979</v>
      </c>
    </row>
    <row r="358" spans="1:3" x14ac:dyDescent="0.35">
      <c r="A358" s="2">
        <v>45139</v>
      </c>
      <c r="B358" s="5">
        <f>[1]mensual!$E394</f>
        <v>3.6999090909090899</v>
      </c>
      <c r="C358" s="5">
        <f t="shared" si="5"/>
        <v>2.6085136905054185</v>
      </c>
    </row>
    <row r="359" spans="1:3" x14ac:dyDescent="0.35">
      <c r="A359" s="2">
        <v>45170</v>
      </c>
      <c r="B359" s="5">
        <f>[1]mensual!$E395</f>
        <v>3.7330476190476198</v>
      </c>
      <c r="C359" s="5">
        <f t="shared" si="5"/>
        <v>0.89565790197259787</v>
      </c>
    </row>
    <row r="360" spans="1:3" x14ac:dyDescent="0.35">
      <c r="A360" s="2">
        <v>45200</v>
      </c>
      <c r="B360" s="5">
        <f>[1]mensual!$E396</f>
        <v>3.8481818181818199</v>
      </c>
      <c r="C360" s="5">
        <f t="shared" si="5"/>
        <v>3.0841877973036134</v>
      </c>
    </row>
    <row r="361" spans="1:3" x14ac:dyDescent="0.35">
      <c r="A361" s="2">
        <v>45231</v>
      </c>
      <c r="B361" s="5">
        <f>[1]mensual!$E397</f>
        <v>3.7658095238095202</v>
      </c>
      <c r="C361" s="5">
        <f t="shared" si="5"/>
        <v>-2.1405509995164209</v>
      </c>
    </row>
    <row r="362" spans="1:3" x14ac:dyDescent="0.35">
      <c r="A362" s="2">
        <v>45261</v>
      </c>
      <c r="B362" s="5">
        <f>[1]mensual!$E398</f>
        <v>3.7381052631578902</v>
      </c>
      <c r="C362" s="5">
        <f t="shared" si="5"/>
        <v>-0.73567875582843101</v>
      </c>
    </row>
    <row r="363" spans="1:3" x14ac:dyDescent="0.35">
      <c r="A363" s="2">
        <v>45292</v>
      </c>
      <c r="B363" s="5">
        <f>[1]mensual!$E399</f>
        <v>3.74366666666667</v>
      </c>
      <c r="C363" s="5">
        <f t="shared" si="5"/>
        <v>0.14877600060094665</v>
      </c>
    </row>
    <row r="364" spans="1:3" x14ac:dyDescent="0.35">
      <c r="A364" s="2">
        <v>45323</v>
      </c>
      <c r="B364" s="5">
        <f>[1]mensual!$E400</f>
        <v>3.83090476190476</v>
      </c>
      <c r="C364" s="5">
        <f t="shared" si="5"/>
        <v>2.3302847984531212</v>
      </c>
    </row>
    <row r="365" spans="1:3" x14ac:dyDescent="0.35">
      <c r="A365" s="2">
        <v>45352</v>
      </c>
      <c r="B365" s="5">
        <f>[1]mensual!$E401</f>
        <v>3.7129473684210499</v>
      </c>
      <c r="C365" s="5">
        <f t="shared" si="5"/>
        <v>-3.0791001294707314</v>
      </c>
    </row>
    <row r="366" spans="1:3" x14ac:dyDescent="0.35">
      <c r="A366" s="2">
        <v>45383</v>
      </c>
      <c r="B366" s="5">
        <f>[1]mensual!$E402</f>
        <v>3.7184090909090899</v>
      </c>
      <c r="C366" s="5">
        <f t="shared" si="5"/>
        <v>0.14709937809764995</v>
      </c>
    </row>
    <row r="367" spans="1:3" x14ac:dyDescent="0.35">
      <c r="A367" s="2">
        <v>45413</v>
      </c>
      <c r="B367" s="5">
        <f>[1]mensual!$E403</f>
        <v>3.7352727272727302</v>
      </c>
      <c r="C367" s="5">
        <f t="shared" si="5"/>
        <v>0.4535175111546863</v>
      </c>
    </row>
    <row r="368" spans="1:3" x14ac:dyDescent="0.35">
      <c r="A368" s="2">
        <v>45444</v>
      </c>
      <c r="B368" s="5">
        <f>[1]mensual!$E404</f>
        <v>3.7895263157894701</v>
      </c>
      <c r="C368" s="5">
        <f t="shared" si="5"/>
        <v>1.4524665928839084</v>
      </c>
    </row>
    <row r="369" spans="1:3" x14ac:dyDescent="0.35">
      <c r="A369" s="2">
        <v>45474</v>
      </c>
      <c r="B369" s="5">
        <f>[1]mensual!$E405</f>
        <v>3.7694999999999999</v>
      </c>
      <c r="C369" s="5">
        <f t="shared" si="5"/>
        <v>-0.52846488243210388</v>
      </c>
    </row>
    <row r="370" spans="1:3" x14ac:dyDescent="0.35">
      <c r="A370" s="2">
        <v>45505</v>
      </c>
      <c r="B370" s="5">
        <f>[1]mensual!$E406</f>
        <v>3.7455500000000002</v>
      </c>
      <c r="C370" s="5">
        <f t="shared" si="5"/>
        <v>-0.63536278020957582</v>
      </c>
    </row>
    <row r="371" spans="1:3" x14ac:dyDescent="0.35">
      <c r="A371" s="2">
        <v>45536</v>
      </c>
      <c r="B371" s="5">
        <f>[1]mensual!$E407</f>
        <v>3.7721428571428599</v>
      </c>
      <c r="C371" s="5">
        <f t="shared" si="5"/>
        <v>0.7099853731190251</v>
      </c>
    </row>
    <row r="372" spans="1:3" x14ac:dyDescent="0.35">
      <c r="A372" s="2">
        <v>45566</v>
      </c>
      <c r="B372" s="5">
        <f>[1]mensual!$E408</f>
        <v>3.7574999999999998</v>
      </c>
      <c r="C372" s="5">
        <f t="shared" si="5"/>
        <v>-0.3881840560500649</v>
      </c>
    </row>
    <row r="373" spans="1:3" x14ac:dyDescent="0.35">
      <c r="A373" s="2">
        <v>45597</v>
      </c>
      <c r="B373" s="5">
        <f>[1]mensual!$E409</f>
        <v>3.7830499999999998</v>
      </c>
      <c r="C373" s="5">
        <f t="shared" si="5"/>
        <v>0.67997338656022066</v>
      </c>
    </row>
    <row r="374" spans="1:3" x14ac:dyDescent="0.35">
      <c r="A374" s="2">
        <v>45627</v>
      </c>
      <c r="B374" s="5">
        <f>[1]mensual!$E410</f>
        <v>3.7401578947368401</v>
      </c>
      <c r="C374" s="5">
        <f t="shared" si="5"/>
        <v>-1.1337969432907187</v>
      </c>
    </row>
    <row r="375" spans="1:3" x14ac:dyDescent="0.35">
      <c r="A375" s="2">
        <v>45658</v>
      </c>
      <c r="B375" s="5">
        <f>[1]mensual!$E411</f>
        <v>3.7516818181818201</v>
      </c>
      <c r="C375" s="5">
        <f t="shared" si="5"/>
        <v>0.30811328744158573</v>
      </c>
    </row>
    <row r="376" spans="1:3" x14ac:dyDescent="0.35">
      <c r="A376" s="2">
        <v>45689</v>
      </c>
      <c r="B376" s="5">
        <f>[1]mensual!$E412</f>
        <v>3.7020499999999998</v>
      </c>
      <c r="C376" s="5">
        <f t="shared" si="5"/>
        <v>-1.3229218411137396</v>
      </c>
    </row>
    <row r="377" spans="1:3" x14ac:dyDescent="0.35">
      <c r="A377" s="2">
        <v>45717</v>
      </c>
      <c r="B377" s="5">
        <f>[1]mensual!$E413</f>
        <v>3.6571904761904799</v>
      </c>
      <c r="C377" s="5">
        <f t="shared" si="5"/>
        <v>-1.211748188423158</v>
      </c>
    </row>
    <row r="378" spans="1:3" x14ac:dyDescent="0.35">
      <c r="A378" s="2">
        <v>45748</v>
      </c>
      <c r="B378" s="5">
        <f>[1]mensual!$E414</f>
        <v>3.7039</v>
      </c>
      <c r="C378" s="5">
        <f t="shared" si="5"/>
        <v>1.2771969114984358</v>
      </c>
    </row>
    <row r="379" spans="1:3" x14ac:dyDescent="0.35">
      <c r="A379" s="2">
        <v>45778</v>
      </c>
      <c r="B379" s="5">
        <f>[1]mensual!$E415</f>
        <v>3.6649523809523799</v>
      </c>
      <c r="C379" s="5">
        <f t="shared" si="5"/>
        <v>-1.0515299831966303</v>
      </c>
    </row>
    <row r="380" spans="1:3" x14ac:dyDescent="0.35">
      <c r="A380" s="2">
        <v>45809</v>
      </c>
      <c r="B380" s="5">
        <f>[1]mensual!$E416</f>
        <v>3.6094761904761898</v>
      </c>
      <c r="C380" s="5">
        <f t="shared" si="5"/>
        <v>-1.5136947144119262</v>
      </c>
    </row>
    <row r="381" spans="1:3" x14ac:dyDescent="0.35">
      <c r="A381" s="2">
        <v>45839</v>
      </c>
      <c r="B381" s="5">
        <f>[1]mensual!$E417</f>
        <v>3.56135</v>
      </c>
      <c r="C381" s="5">
        <f t="shared" si="5"/>
        <v>-1.3333289357379243</v>
      </c>
    </row>
    <row r="382" spans="1:3" x14ac:dyDescent="0.35">
      <c r="A382" s="2">
        <v>45870</v>
      </c>
      <c r="B382" s="5">
        <f>[1]mensual!$E418</f>
        <v>3.5478499999999999</v>
      </c>
      <c r="C382" s="5">
        <f t="shared" si="5"/>
        <v>-0.37906973479158523</v>
      </c>
    </row>
    <row r="383" spans="1:3" x14ac:dyDescent="0.35">
      <c r="A383" s="2">
        <v>45901</v>
      </c>
      <c r="B383" s="5">
        <f>[1]mensual!$E419</f>
        <v>3.5079545454545502</v>
      </c>
      <c r="C383" s="5">
        <f t="shared" si="5"/>
        <v>-1.1244966541835169</v>
      </c>
    </row>
    <row r="384" spans="1:3" x14ac:dyDescent="0.35">
      <c r="A384" s="2">
        <v>45931</v>
      </c>
      <c r="B384" s="5">
        <f>[1]mensual!$E420</f>
        <v>3.4184545454545501</v>
      </c>
      <c r="C384" s="5">
        <f t="shared" si="5"/>
        <v>-2.5513443472627131</v>
      </c>
    </row>
    <row r="385" spans="1:3" x14ac:dyDescent="0.35">
      <c r="A385" s="2">
        <v>45962</v>
      </c>
      <c r="B385" s="5">
        <f>[1]mensual!$E421</f>
        <v>3.3776999999999999</v>
      </c>
      <c r="C385" s="5">
        <f t="shared" si="5"/>
        <v>-1.1921921123315968</v>
      </c>
    </row>
    <row r="386" spans="1:3" x14ac:dyDescent="0.35">
      <c r="A386" s="2">
        <v>45992</v>
      </c>
      <c r="B386" s="5">
        <f>[1]mensual!$E422</f>
        <v>3.3715263157894699</v>
      </c>
      <c r="C386" s="5">
        <f t="shared" si="5"/>
        <v>-0.18277775440478194</v>
      </c>
    </row>
    <row r="387" spans="1:3" x14ac:dyDescent="0.35">
      <c r="A387" s="2">
        <v>46023</v>
      </c>
      <c r="B387" s="5">
        <f>[1]mensual!$E423</f>
        <v>3.3612000000000002</v>
      </c>
      <c r="C387" s="5">
        <f t="shared" si="5"/>
        <v>-0.30628014798845982</v>
      </c>
    </row>
    <row r="388" spans="1:3" x14ac:dyDescent="0.35">
      <c r="A388" s="2">
        <v>46054</v>
      </c>
      <c r="B388" s="5">
        <f>[1]mensual!$E424</f>
        <v>3.3612500000000001</v>
      </c>
      <c r="C388" s="5">
        <f t="shared" ref="C388:C391" si="6">100*B388/B387-100</f>
        <v>1.4875639652416339E-3</v>
      </c>
    </row>
    <row r="389" spans="1:3" x14ac:dyDescent="0.35">
      <c r="A389" s="2">
        <v>46082</v>
      </c>
      <c r="B389" s="5">
        <f>[1]mensual!$E425</f>
        <v>3.4517272727272701</v>
      </c>
      <c r="C389" s="5">
        <f t="shared" si="6"/>
        <v>2.6917745697960527</v>
      </c>
    </row>
    <row r="390" spans="1:3" x14ac:dyDescent="0.35">
      <c r="A390" s="2">
        <v>46113</v>
      </c>
      <c r="B390" s="5">
        <f>[1]mensual!$E426</f>
        <v>3.4478499999999999</v>
      </c>
      <c r="C390" s="5">
        <f t="shared" si="6"/>
        <v>-0.11232847849554162</v>
      </c>
    </row>
    <row r="391" spans="1:3" x14ac:dyDescent="0.35">
      <c r="A391" s="2">
        <v>46143</v>
      </c>
      <c r="B391" s="5">
        <f>[1]mensual!$E427</f>
        <v>3.4386000000000001</v>
      </c>
      <c r="C391" s="5">
        <f t="shared" si="6"/>
        <v>-0.2682831329669142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7"/>
  <sheetViews>
    <sheetView workbookViewId="0">
      <selection activeCell="B1" sqref="B1"/>
    </sheetView>
  </sheetViews>
  <sheetFormatPr defaultRowHeight="14.5" x14ac:dyDescent="0.35"/>
  <cols>
    <col min="1" max="1" width="14" customWidth="1"/>
    <col min="2" max="5" width="16" customWidth="1"/>
  </cols>
  <sheetData>
    <row r="1" spans="1:5" x14ac:dyDescent="0.35">
      <c r="A1" s="1" t="s">
        <v>0</v>
      </c>
      <c r="B1" s="1" t="s">
        <v>24</v>
      </c>
      <c r="C1" s="1" t="s">
        <v>25</v>
      </c>
      <c r="D1" s="1" t="s">
        <v>26</v>
      </c>
      <c r="E1" s="1" t="s">
        <v>27</v>
      </c>
    </row>
    <row r="2" spans="1:5" x14ac:dyDescent="0.35">
      <c r="A2">
        <v>1950</v>
      </c>
      <c r="B2" s="6">
        <f>[1]bdp!$C2</f>
        <v>4.7908214552589703</v>
      </c>
      <c r="C2" s="6">
        <f>[1]bdp!$F2</f>
        <v>-1.1964131829642199</v>
      </c>
      <c r="D2" s="6">
        <f>[1]bdp!$I2</f>
        <v>-2.5958694248566601</v>
      </c>
      <c r="E2" s="6">
        <f>[1]bdp!$L2</f>
        <v>0.12990074663419801</v>
      </c>
    </row>
    <row r="3" spans="1:5" x14ac:dyDescent="0.35">
      <c r="A3">
        <v>1951</v>
      </c>
      <c r="B3" s="6">
        <f>[1]bdp!$C3</f>
        <v>2.6701506403901001</v>
      </c>
      <c r="C3" s="6">
        <f>[1]bdp!$F3</f>
        <v>-1.54549842410503</v>
      </c>
      <c r="D3" s="6">
        <f>[1]bdp!$I3</f>
        <v>-1.2225285966601001</v>
      </c>
      <c r="E3" s="6">
        <f>[1]bdp!$L3</f>
        <v>0.107286145937201</v>
      </c>
    </row>
    <row r="4" spans="1:5" x14ac:dyDescent="0.35">
      <c r="A4">
        <v>1952</v>
      </c>
      <c r="B4" s="6">
        <f>[1]bdp!$C4</f>
        <v>-0.84008576360355602</v>
      </c>
      <c r="C4" s="6">
        <f>[1]bdp!$F4</f>
        <v>-1.80497056303574</v>
      </c>
      <c r="D4" s="6">
        <f>[1]bdp!$I4</f>
        <v>-1.2066329608567801</v>
      </c>
      <c r="E4" s="6">
        <f>[1]bdp!$L4</f>
        <v>0.26849600369887</v>
      </c>
    </row>
    <row r="5" spans="1:5" x14ac:dyDescent="0.35">
      <c r="A5">
        <v>1953</v>
      </c>
      <c r="B5" s="6">
        <f>[1]bdp!$C5</f>
        <v>-2.0741570204761102</v>
      </c>
      <c r="C5" s="6">
        <f>[1]bdp!$F5</f>
        <v>-1.9871805938823599</v>
      </c>
      <c r="D5" s="6">
        <f>[1]bdp!$I5</f>
        <v>-0.79301200704130503</v>
      </c>
      <c r="E5" s="6">
        <f>[1]bdp!$L5</f>
        <v>0.34229661437426201</v>
      </c>
    </row>
    <row r="6" spans="1:5" x14ac:dyDescent="0.35">
      <c r="A6">
        <v>1954</v>
      </c>
      <c r="B6" s="6">
        <f>[1]bdp!$C6</f>
        <v>2.02641997068207</v>
      </c>
      <c r="C6" s="6">
        <f>[1]bdp!$F6</f>
        <v>-1.60722587678838</v>
      </c>
      <c r="D6" s="6">
        <f>[1]bdp!$I6</f>
        <v>-2.23920387331348</v>
      </c>
      <c r="E6" s="6">
        <f>[1]bdp!$L6</f>
        <v>0.54645819892373404</v>
      </c>
    </row>
    <row r="7" spans="1:5" x14ac:dyDescent="0.35">
      <c r="A7">
        <v>1955</v>
      </c>
      <c r="B7" s="6">
        <f>[1]bdp!$C7</f>
        <v>-0.84146399903465896</v>
      </c>
      <c r="C7" s="6">
        <f>[1]bdp!$F7</f>
        <v>-2.3407483774268099</v>
      </c>
      <c r="D7" s="6">
        <f>[1]bdp!$I7</f>
        <v>-3.2870257613131799</v>
      </c>
      <c r="E7" s="6">
        <f>[1]bdp!$L7</f>
        <v>0.48524948220966901</v>
      </c>
    </row>
    <row r="8" spans="1:5" x14ac:dyDescent="0.35">
      <c r="A8">
        <v>1956</v>
      </c>
      <c r="B8" s="6">
        <f>[1]bdp!$C8</f>
        <v>-1.22649344211086</v>
      </c>
      <c r="C8" s="6">
        <f>[1]bdp!$F8</f>
        <v>-2.8070319047726802</v>
      </c>
      <c r="D8" s="6">
        <f>[1]bdp!$I8</f>
        <v>-2.5192808507447801</v>
      </c>
      <c r="E8" s="6">
        <f>[1]bdp!$L8</f>
        <v>0.62241444981464</v>
      </c>
    </row>
    <row r="9" spans="1:5" x14ac:dyDescent="0.35">
      <c r="A9">
        <v>1957</v>
      </c>
      <c r="B9" s="6">
        <f>[1]bdp!$C9</f>
        <v>-3.6620148969028898</v>
      </c>
      <c r="C9" s="6">
        <f>[1]bdp!$F9</f>
        <v>-2.90114875527293</v>
      </c>
      <c r="D9" s="6">
        <f>[1]bdp!$I9</f>
        <v>-2.3965132657932702</v>
      </c>
      <c r="E9" s="6">
        <f>[1]bdp!$L9</f>
        <v>0.90712077358144405</v>
      </c>
    </row>
    <row r="10" spans="1:5" x14ac:dyDescent="0.35">
      <c r="A10">
        <v>1958</v>
      </c>
      <c r="B10" s="6">
        <f>[1]bdp!$C10</f>
        <v>-2.9820458848919902</v>
      </c>
      <c r="C10" s="6">
        <f>[1]bdp!$F10</f>
        <v>-2.76621653949922</v>
      </c>
      <c r="D10" s="6">
        <f>[1]bdp!$I10</f>
        <v>-1.9866571988703201</v>
      </c>
      <c r="E10" s="6">
        <f>[1]bdp!$L10</f>
        <v>0.83148481075477998</v>
      </c>
    </row>
    <row r="11" spans="1:5" x14ac:dyDescent="0.35">
      <c r="A11">
        <v>1959</v>
      </c>
      <c r="B11" s="6">
        <f>[1]bdp!$C11</f>
        <v>2.3534814079629198</v>
      </c>
      <c r="C11" s="6">
        <f>[1]bdp!$F11</f>
        <v>-2.4716560286949698</v>
      </c>
      <c r="D11" s="6">
        <f>[1]bdp!$I11</f>
        <v>-2.6726591460215299</v>
      </c>
      <c r="E11" s="6">
        <f>[1]bdp!$L11</f>
        <v>0.55177984294484805</v>
      </c>
    </row>
    <row r="12" spans="1:5" x14ac:dyDescent="0.35">
      <c r="A12">
        <v>1960</v>
      </c>
      <c r="B12" s="6">
        <f>[1]bdp!$C12</f>
        <v>4.64469288707018</v>
      </c>
      <c r="C12" s="6">
        <f>[1]bdp!$F12</f>
        <v>-2.2563544787464198</v>
      </c>
      <c r="D12" s="6">
        <f>[1]bdp!$I12</f>
        <v>-2.96125741349281</v>
      </c>
      <c r="E12" s="6">
        <f>[1]bdp!$L12</f>
        <v>0.92626923951247198</v>
      </c>
    </row>
    <row r="13" spans="1:5" x14ac:dyDescent="0.35">
      <c r="A13">
        <v>1961</v>
      </c>
      <c r="B13" s="6">
        <f>[1]bdp!$C13</f>
        <v>3.2635016918865198</v>
      </c>
      <c r="C13" s="6">
        <f>[1]bdp!$F13</f>
        <v>-2.1649680952369499</v>
      </c>
      <c r="D13" s="6">
        <f>[1]bdp!$I13</f>
        <v>-2.6676671870837301</v>
      </c>
      <c r="E13" s="6">
        <f>[1]bdp!$L13</f>
        <v>1.07395897543986</v>
      </c>
    </row>
    <row r="14" spans="1:5" x14ac:dyDescent="0.35">
      <c r="A14">
        <v>1962</v>
      </c>
      <c r="B14" s="6">
        <f>[1]bdp!$C14</f>
        <v>2.66763694448768</v>
      </c>
      <c r="C14" s="6">
        <f>[1]bdp!$F14</f>
        <v>-2.2650324741029602</v>
      </c>
      <c r="D14" s="6">
        <f>[1]bdp!$I14</f>
        <v>-2.3051382715369302</v>
      </c>
      <c r="E14" s="6">
        <f>[1]bdp!$L14</f>
        <v>0.62475003560596198</v>
      </c>
    </row>
    <row r="15" spans="1:5" x14ac:dyDescent="0.35">
      <c r="A15">
        <v>1963</v>
      </c>
      <c r="B15" s="6">
        <f>[1]bdp!$C15</f>
        <v>1.1843114322542001</v>
      </c>
      <c r="C15" s="6">
        <f>[1]bdp!$F15</f>
        <v>-2.0682780207510998</v>
      </c>
      <c r="D15" s="6">
        <f>[1]bdp!$I15</f>
        <v>-2.3245200646140201</v>
      </c>
      <c r="E15" s="6">
        <f>[1]bdp!$L15</f>
        <v>0.60498851638517903</v>
      </c>
    </row>
    <row r="16" spans="1:5" x14ac:dyDescent="0.35">
      <c r="A16">
        <v>1964</v>
      </c>
      <c r="B16" s="6">
        <f>[1]bdp!$C16</f>
        <v>4.4464289847124698</v>
      </c>
      <c r="C16" s="6">
        <f>[1]bdp!$F16</f>
        <v>-2.5394840038679001</v>
      </c>
      <c r="D16" s="6">
        <f>[1]bdp!$I16</f>
        <v>-1.9258406649822399</v>
      </c>
      <c r="E16" s="6">
        <f>[1]bdp!$L16</f>
        <v>0.395476808066198</v>
      </c>
    </row>
    <row r="17" spans="1:5" x14ac:dyDescent="0.35">
      <c r="A17">
        <v>1965</v>
      </c>
      <c r="B17" s="6">
        <f>[1]bdp!$C17</f>
        <v>0.55700202993249603</v>
      </c>
      <c r="C17" s="6">
        <f>[1]bdp!$F17</f>
        <v>-2.3551732408355899</v>
      </c>
      <c r="D17" s="6">
        <f>[1]bdp!$I17</f>
        <v>-1.9303942900111499</v>
      </c>
      <c r="E17" s="6">
        <f>[1]bdp!$L17</f>
        <v>0.539455839339958</v>
      </c>
    </row>
    <row r="18" spans="1:5" x14ac:dyDescent="0.35">
      <c r="A18">
        <v>1966</v>
      </c>
      <c r="B18" s="6">
        <f>[1]bdp!$C18</f>
        <v>-0.42415339536382501</v>
      </c>
      <c r="C18" s="6">
        <f>[1]bdp!$F18</f>
        <v>-1.9718620614254401</v>
      </c>
      <c r="D18" s="6">
        <f>[1]bdp!$I18</f>
        <v>-2.39758819825702</v>
      </c>
      <c r="E18" s="6">
        <f>[1]bdp!$L18</f>
        <v>0.51791874382246506</v>
      </c>
    </row>
    <row r="19" spans="1:5" x14ac:dyDescent="0.35">
      <c r="A19">
        <v>1967</v>
      </c>
      <c r="B19" s="6">
        <f>[1]bdp!$C19</f>
        <v>-1.41077433745329</v>
      </c>
      <c r="C19" s="6">
        <f>[1]bdp!$F19</f>
        <v>-2.0016159044539199</v>
      </c>
      <c r="D19" s="6">
        <f>[1]bdp!$I19</f>
        <v>-3.0732011017230101</v>
      </c>
      <c r="E19" s="6">
        <f>[1]bdp!$L19</f>
        <v>0.61394442638304003</v>
      </c>
    </row>
    <row r="20" spans="1:5" x14ac:dyDescent="0.35">
      <c r="A20">
        <v>1968</v>
      </c>
      <c r="B20" s="6">
        <f>[1]bdp!$C20</f>
        <v>3.79318266258755</v>
      </c>
      <c r="C20" s="6">
        <f>[1]bdp!$F20</f>
        <v>-2.1140473754393798</v>
      </c>
      <c r="D20" s="6">
        <f>[1]bdp!$I20</f>
        <v>-3.4362419553771901</v>
      </c>
      <c r="E20" s="6">
        <f>[1]bdp!$L20</f>
        <v>0.834930278635165</v>
      </c>
    </row>
    <row r="21" spans="1:5" x14ac:dyDescent="0.35">
      <c r="A21">
        <v>1969</v>
      </c>
      <c r="B21" s="6">
        <f>[1]bdp!$C21</f>
        <v>4.4988257512286003</v>
      </c>
      <c r="C21" s="6">
        <f>[1]bdp!$F21</f>
        <v>-1.34521753295701</v>
      </c>
      <c r="D21" s="6">
        <f>[1]bdp!$I21</f>
        <v>-3.7641759507251602</v>
      </c>
      <c r="E21" s="6">
        <f>[1]bdp!$L21</f>
        <v>0.63744640674455399</v>
      </c>
    </row>
    <row r="22" spans="1:5" x14ac:dyDescent="0.35">
      <c r="A22">
        <v>1970</v>
      </c>
      <c r="B22" s="6">
        <f>[1]bdp!$C22</f>
        <v>5.3868911235699102</v>
      </c>
      <c r="C22" s="6">
        <f>[1]bdp!$F22</f>
        <v>-1.3344435881254699</v>
      </c>
      <c r="D22" s="6">
        <f>[1]bdp!$I22</f>
        <v>-2.70456163206436</v>
      </c>
      <c r="E22" s="6">
        <f>[1]bdp!$L22</f>
        <v>1.3134188411523999</v>
      </c>
    </row>
    <row r="23" spans="1:5" x14ac:dyDescent="0.35">
      <c r="A23">
        <v>1971</v>
      </c>
      <c r="B23" s="6">
        <f>[1]bdp!$C23</f>
        <v>2.3710956335920899</v>
      </c>
      <c r="C23" s="6">
        <f>[1]bdp!$F23</f>
        <v>-1.5965719383432599</v>
      </c>
      <c r="D23" s="6">
        <f>[1]bdp!$I23</f>
        <v>-2.3204474065453802</v>
      </c>
      <c r="E23" s="6">
        <f>[1]bdp!$L23</f>
        <v>0.58632946071285696</v>
      </c>
    </row>
    <row r="24" spans="1:5" x14ac:dyDescent="0.35">
      <c r="A24">
        <v>1972</v>
      </c>
      <c r="B24" s="6">
        <f>[1]bdp!$C24</f>
        <v>1.73254353311118</v>
      </c>
      <c r="C24" s="6">
        <f>[1]bdp!$F24</f>
        <v>-1.0810320168135601</v>
      </c>
      <c r="D24" s="6">
        <f>[1]bdp!$I24</f>
        <v>-1.99334617140674</v>
      </c>
      <c r="E24" s="6">
        <f>[1]bdp!$L24</f>
        <v>0.51037479031821897</v>
      </c>
    </row>
    <row r="25" spans="1:5" x14ac:dyDescent="0.35">
      <c r="A25">
        <v>1973</v>
      </c>
      <c r="B25" s="6">
        <f>[1]bdp!$C25</f>
        <v>0.84322628454987703</v>
      </c>
      <c r="C25" s="6">
        <f>[1]bdp!$F25</f>
        <v>-1.4095050415842301</v>
      </c>
      <c r="D25" s="6">
        <f>[1]bdp!$I25</f>
        <v>-2.7721510966771401</v>
      </c>
      <c r="E25" s="6">
        <f>[1]bdp!$L25</f>
        <v>0.44991263069043802</v>
      </c>
    </row>
    <row r="26" spans="1:5" x14ac:dyDescent="0.35">
      <c r="A26">
        <v>1974</v>
      </c>
      <c r="B26" s="6">
        <f>[1]bdp!$C26</f>
        <v>-3.4800212896585001</v>
      </c>
      <c r="C26" s="6">
        <f>[1]bdp!$F26</f>
        <v>-2.0990801911395098</v>
      </c>
      <c r="D26" s="6">
        <f>[1]bdp!$I26</f>
        <v>-2.8122559605444102</v>
      </c>
      <c r="E26" s="6">
        <f>[1]bdp!$L26</f>
        <v>0.39759480821489901</v>
      </c>
    </row>
    <row r="27" spans="1:5" x14ac:dyDescent="0.35">
      <c r="A27">
        <v>1975</v>
      </c>
      <c r="B27" s="6">
        <f>[1]bdp!$C27</f>
        <v>-8.1034584189304901</v>
      </c>
      <c r="C27" s="6">
        <f>[1]bdp!$F27</f>
        <v>-1.7512968744208799</v>
      </c>
      <c r="D27" s="6">
        <f>[1]bdp!$I27</f>
        <v>-2.3375360823837998</v>
      </c>
      <c r="E27" s="6">
        <f>[1]bdp!$L27</f>
        <v>0.57139770902715004</v>
      </c>
    </row>
    <row r="28" spans="1:5" x14ac:dyDescent="0.35">
      <c r="A28">
        <v>1976</v>
      </c>
      <c r="B28" s="6">
        <f>[1]bdp!$C28</f>
        <v>-5.0873166853857299</v>
      </c>
      <c r="C28" s="6">
        <f>[1]bdp!$F28</f>
        <v>-0.81003405555992902</v>
      </c>
      <c r="D28" s="6">
        <f>[1]bdp!$I28</f>
        <v>-3.10386881102403</v>
      </c>
      <c r="E28" s="6">
        <f>[1]bdp!$L28</f>
        <v>0.62077376220480596</v>
      </c>
    </row>
    <row r="29" spans="1:5" x14ac:dyDescent="0.35">
      <c r="A29">
        <v>1977</v>
      </c>
      <c r="B29" s="6">
        <f>[1]bdp!$C29</f>
        <v>-3.3727995333504199</v>
      </c>
      <c r="C29" s="6">
        <f>[1]bdp!$F29</f>
        <v>-0.24183553059395901</v>
      </c>
      <c r="D29" s="6">
        <f>[1]bdp!$I29</f>
        <v>-3.8048790146782898</v>
      </c>
      <c r="E29" s="6">
        <f>[1]bdp!$L29</f>
        <v>0.83836317272572503</v>
      </c>
    </row>
    <row r="30" spans="1:5" x14ac:dyDescent="0.35">
      <c r="A30">
        <v>1978</v>
      </c>
      <c r="B30" s="6">
        <f>[1]bdp!$C30</f>
        <v>3.4637754321624401</v>
      </c>
      <c r="C30" s="6">
        <f>[1]bdp!$F30</f>
        <v>-0.16850799399709199</v>
      </c>
      <c r="D30" s="6">
        <f>[1]bdp!$I30</f>
        <v>-6.0475646734511797</v>
      </c>
      <c r="E30" s="6">
        <f>[1]bdp!$L30</f>
        <v>1.21700217886788</v>
      </c>
    </row>
    <row r="31" spans="1:5" x14ac:dyDescent="0.35">
      <c r="A31">
        <v>1979</v>
      </c>
      <c r="B31" s="6">
        <f>[1]bdp!$C31</f>
        <v>12.444615458871199</v>
      </c>
      <c r="C31" s="6">
        <f>[1]bdp!$F31</f>
        <v>-0.22844506564726699</v>
      </c>
      <c r="D31" s="6">
        <f>[1]bdp!$I31</f>
        <v>-6.5642702505433803</v>
      </c>
      <c r="E31" s="6">
        <f>[1]bdp!$L31</f>
        <v>1.07171759192545</v>
      </c>
    </row>
    <row r="32" spans="1:5" x14ac:dyDescent="0.35">
      <c r="A32">
        <v>1980</v>
      </c>
      <c r="B32" s="6">
        <f>[1]bdp!$C32</f>
        <v>4.9227394627285603</v>
      </c>
      <c r="C32" s="6">
        <f>[1]bdp!$F32</f>
        <v>-1.7747345939789001</v>
      </c>
      <c r="D32" s="6">
        <f>[1]bdp!$I32</f>
        <v>-5.8306555022156203</v>
      </c>
      <c r="E32" s="6">
        <f>[1]bdp!$L32</f>
        <v>0.42914058918013098</v>
      </c>
    </row>
    <row r="33" spans="1:5" x14ac:dyDescent="0.35">
      <c r="A33">
        <v>1981</v>
      </c>
      <c r="B33" s="6">
        <f>[1]bdp!$C33</f>
        <v>-2.2560631891897498</v>
      </c>
      <c r="C33" s="6">
        <f>[1]bdp!$F33</f>
        <v>-3.1279551965172598</v>
      </c>
      <c r="D33" s="6">
        <f>[1]bdp!$I33</f>
        <v>-5.4758337884993598</v>
      </c>
      <c r="E33" s="6">
        <f>[1]bdp!$L33</f>
        <v>0.40797140457974601</v>
      </c>
    </row>
    <row r="34" spans="1:5" x14ac:dyDescent="0.35">
      <c r="A34">
        <v>1982</v>
      </c>
      <c r="B34" s="6">
        <f>[1]bdp!$C34</f>
        <v>-1.78887569700211</v>
      </c>
      <c r="C34" s="6">
        <f>[1]bdp!$F34</f>
        <v>-2.9120456959615999</v>
      </c>
      <c r="D34" s="6">
        <f>[1]bdp!$I34</f>
        <v>-5.4647446675499198</v>
      </c>
      <c r="E34" s="6">
        <f>[1]bdp!$L34</f>
        <v>0.42506866364905999</v>
      </c>
    </row>
    <row r="35" spans="1:5" x14ac:dyDescent="0.35">
      <c r="A35">
        <v>1983</v>
      </c>
      <c r="B35" s="6">
        <f>[1]bdp!$C35</f>
        <v>1.8851802661082799</v>
      </c>
      <c r="C35" s="6">
        <f>[1]bdp!$F35</f>
        <v>-1.56516430817965</v>
      </c>
      <c r="D35" s="6">
        <f>[1]bdp!$I35</f>
        <v>-7.4612602901129597</v>
      </c>
      <c r="E35" s="6">
        <f>[1]bdp!$L35</f>
        <v>0.69224201696411003</v>
      </c>
    </row>
    <row r="36" spans="1:5" x14ac:dyDescent="0.35">
      <c r="A36">
        <v>1984</v>
      </c>
      <c r="B36" s="6">
        <f>[1]bdp!$C36</f>
        <v>6.0523263600722697</v>
      </c>
      <c r="C36" s="6">
        <f>[1]bdp!$F36</f>
        <v>-1.4899059527662799</v>
      </c>
      <c r="D36" s="6">
        <f>[1]bdp!$I36</f>
        <v>-6.8654148446546497</v>
      </c>
      <c r="E36" s="6">
        <f>[1]bdp!$L36</f>
        <v>0.67457397507776795</v>
      </c>
    </row>
    <row r="37" spans="1:5" x14ac:dyDescent="0.35">
      <c r="A37">
        <v>1985</v>
      </c>
      <c r="B37" s="6">
        <f>[1]bdp!$C37</f>
        <v>8.2610907961690607</v>
      </c>
      <c r="C37" s="6">
        <f>[1]bdp!$F37</f>
        <v>-1.5725336470445099</v>
      </c>
      <c r="D37" s="6">
        <f>[1]bdp!$I37</f>
        <v>-7.8008460792355798</v>
      </c>
      <c r="E37" s="6">
        <f>[1]bdp!$L37</f>
        <v>0.62858482343965505</v>
      </c>
    </row>
    <row r="38" spans="1:5" x14ac:dyDescent="0.35">
      <c r="A38">
        <v>1986</v>
      </c>
      <c r="B38" s="6">
        <f>[1]bdp!$C38</f>
        <v>-0.37687253683587602</v>
      </c>
      <c r="C38" s="6">
        <f>[1]bdp!$F38</f>
        <v>-1.629401256413</v>
      </c>
      <c r="D38" s="6">
        <f>[1]bdp!$I38</f>
        <v>-5.7832482919877801</v>
      </c>
      <c r="E38" s="6">
        <f>[1]bdp!$L38</f>
        <v>0.550434549045974</v>
      </c>
    </row>
    <row r="39" spans="1:5" x14ac:dyDescent="0.35">
      <c r="A39">
        <v>1987</v>
      </c>
      <c r="B39" s="6">
        <f>[1]bdp!$C39</f>
        <v>-1.82374398951252</v>
      </c>
      <c r="C39" s="6">
        <f>[1]bdp!$F39</f>
        <v>-1.3476132088116699</v>
      </c>
      <c r="D39" s="6">
        <f>[1]bdp!$I39</f>
        <v>-4.7710109222406398</v>
      </c>
      <c r="E39" s="6">
        <f>[1]bdp!$L39</f>
        <v>0.429223891321527</v>
      </c>
    </row>
    <row r="40" spans="1:5" x14ac:dyDescent="0.35">
      <c r="A40">
        <v>1988</v>
      </c>
      <c r="B40" s="6">
        <f>[1]bdp!$C40</f>
        <v>-0.64461030671539399</v>
      </c>
      <c r="C40" s="6">
        <f>[1]bdp!$F40</f>
        <v>-1.47733713269669</v>
      </c>
      <c r="D40" s="6">
        <f>[1]bdp!$I40</f>
        <v>-6.7253125045045801</v>
      </c>
      <c r="E40" s="6">
        <f>[1]bdp!$L40</f>
        <v>0.72184055992253005</v>
      </c>
    </row>
    <row r="41" spans="1:5" x14ac:dyDescent="0.35">
      <c r="A41">
        <v>1989</v>
      </c>
      <c r="B41" s="6">
        <f>[1]bdp!$C41</f>
        <v>4.8083968656461096</v>
      </c>
      <c r="C41" s="6">
        <f>[1]bdp!$F41</f>
        <v>-1.21485876204159</v>
      </c>
      <c r="D41" s="6">
        <f>[1]bdp!$I41</f>
        <v>-6.6595622770483498</v>
      </c>
      <c r="E41" s="6">
        <f>[1]bdp!$L41</f>
        <v>0.69465388532574701</v>
      </c>
    </row>
    <row r="42" spans="1:5" x14ac:dyDescent="0.35">
      <c r="A42">
        <v>1990</v>
      </c>
      <c r="B42" s="6">
        <f>[1]bdp!$C42</f>
        <v>1.21705148098606</v>
      </c>
      <c r="C42" s="6">
        <f>[1]bdp!$F42</f>
        <v>-1.24108240662687</v>
      </c>
      <c r="D42" s="6">
        <f>[1]bdp!$I42</f>
        <v>-5.8927316575834796</v>
      </c>
      <c r="E42" s="6">
        <f>[1]bdp!$L42</f>
        <v>0.95428565265861298</v>
      </c>
    </row>
    <row r="43" spans="1:5" x14ac:dyDescent="0.35">
      <c r="A43">
        <v>1991</v>
      </c>
      <c r="B43" s="6">
        <f>[1]bdp!$C43</f>
        <v>-0.60363785868945397</v>
      </c>
      <c r="C43" s="6">
        <f>[1]bdp!$F43</f>
        <v>-1.2321357862892299</v>
      </c>
      <c r="D43" s="6">
        <f>[1]bdp!$I43</f>
        <v>-4.0922290920851001</v>
      </c>
      <c r="E43" s="6">
        <f>[1]bdp!$L43</f>
        <v>1.3932935189143201</v>
      </c>
    </row>
    <row r="44" spans="1:5" x14ac:dyDescent="0.35">
      <c r="A44">
        <v>1992</v>
      </c>
      <c r="B44" s="6">
        <f>[1]bdp!$C44</f>
        <v>-1.18821165029753</v>
      </c>
      <c r="C44" s="6">
        <f>[1]bdp!$F44</f>
        <v>-1.5700604462435801</v>
      </c>
      <c r="D44" s="6">
        <f>[1]bdp!$I44</f>
        <v>-3.9067773139974999</v>
      </c>
      <c r="E44" s="6">
        <f>[1]bdp!$L44</f>
        <v>1.2866434197707901</v>
      </c>
    </row>
    <row r="45" spans="1:5" x14ac:dyDescent="0.35">
      <c r="A45">
        <v>1993</v>
      </c>
      <c r="B45" s="6">
        <f>[1]bdp!$C45</f>
        <v>-2.2709046753916899</v>
      </c>
      <c r="C45" s="6">
        <f>[1]bdp!$F45</f>
        <v>-1.6097886862355499</v>
      </c>
      <c r="D45" s="6">
        <f>[1]bdp!$I45</f>
        <v>-4.8894180904016702</v>
      </c>
      <c r="E45" s="6">
        <f>[1]bdp!$L45</f>
        <v>1.5563314516783699</v>
      </c>
    </row>
    <row r="46" spans="1:5" x14ac:dyDescent="0.35">
      <c r="A46">
        <v>1994</v>
      </c>
      <c r="B46" s="6">
        <f>[1]bdp!$C46</f>
        <v>-2.5165202231092501</v>
      </c>
      <c r="C46" s="6">
        <f>[1]bdp!$F46</f>
        <v>-1.1007821867159899</v>
      </c>
      <c r="D46" s="6">
        <f>[1]bdp!$I46</f>
        <v>-4.5501171725190899</v>
      </c>
      <c r="E46" s="6">
        <f>[1]bdp!$L46</f>
        <v>1.84440661936127</v>
      </c>
    </row>
    <row r="47" spans="1:5" x14ac:dyDescent="0.35">
      <c r="A47">
        <v>1995</v>
      </c>
      <c r="B47" s="6">
        <f>[1]bdp!$C47</f>
        <v>-4.3602599306917602</v>
      </c>
      <c r="C47" s="6">
        <f>[1]bdp!$F47</f>
        <v>-1.4263488600254099</v>
      </c>
      <c r="D47" s="6">
        <f>[1]bdp!$I47</f>
        <v>-4.8278374082756104</v>
      </c>
      <c r="E47" s="6">
        <f>[1]bdp!$L47</f>
        <v>1.6185063368272601</v>
      </c>
    </row>
    <row r="48" spans="1:5" x14ac:dyDescent="0.35">
      <c r="A48">
        <v>1996</v>
      </c>
      <c r="B48" s="6">
        <f>[1]bdp!$C48</f>
        <v>-3.7192973845832</v>
      </c>
      <c r="C48" s="6">
        <f>[1]bdp!$F48</f>
        <v>-1.2559747430419601</v>
      </c>
      <c r="D48" s="6">
        <f>[1]bdp!$I48</f>
        <v>-3.5544540640703799</v>
      </c>
      <c r="E48" s="6">
        <f>[1]bdp!$L48</f>
        <v>1.7075756119013601</v>
      </c>
    </row>
    <row r="49" spans="1:5" x14ac:dyDescent="0.35">
      <c r="A49">
        <v>1997</v>
      </c>
      <c r="B49" s="6">
        <f>[1]bdp!$C49</f>
        <v>-3.0388929778018801</v>
      </c>
      <c r="C49" s="6">
        <f>[1]bdp!$F49</f>
        <v>-1.3966850706704801</v>
      </c>
      <c r="D49" s="6">
        <f>[1]bdp!$I49</f>
        <v>-3.2364818259354999</v>
      </c>
      <c r="E49" s="6">
        <f>[1]bdp!$L49</f>
        <v>1.6900337734733</v>
      </c>
    </row>
    <row r="50" spans="1:5" x14ac:dyDescent="0.35">
      <c r="A50">
        <v>1998</v>
      </c>
      <c r="B50" s="6">
        <f>[1]bdp!$C50</f>
        <v>-4.5564866498404601</v>
      </c>
      <c r="C50" s="6">
        <f>[1]bdp!$F50</f>
        <v>-1.2161041526007501</v>
      </c>
      <c r="D50" s="6">
        <f>[1]bdp!$I50</f>
        <v>-2.2281595003283798</v>
      </c>
      <c r="E50" s="6">
        <f>[1]bdp!$L50</f>
        <v>1.8266983950325999</v>
      </c>
    </row>
    <row r="51" spans="1:5" x14ac:dyDescent="0.35">
      <c r="A51">
        <v>1999</v>
      </c>
      <c r="B51" s="6">
        <f>[1]bdp!$C51</f>
        <v>-1.2785264625839701</v>
      </c>
      <c r="C51" s="6">
        <f>[1]bdp!$F51</f>
        <v>-1.2060783593503399</v>
      </c>
      <c r="D51" s="6">
        <f>[1]bdp!$I51</f>
        <v>-2.2822747415078899</v>
      </c>
      <c r="E51" s="6">
        <f>[1]bdp!$L51</f>
        <v>1.9348342634966</v>
      </c>
    </row>
    <row r="52" spans="1:5" x14ac:dyDescent="0.35">
      <c r="A52">
        <v>2000</v>
      </c>
      <c r="B52" s="6">
        <f>[1]bdp!$C52</f>
        <v>-0.79842621879688502</v>
      </c>
      <c r="C52" s="6">
        <f>[1]bdp!$F52</f>
        <v>-1.4571117968016201</v>
      </c>
      <c r="D52" s="6">
        <f>[1]bdp!$I52</f>
        <v>-2.79504245645392</v>
      </c>
      <c r="E52" s="6">
        <f>[1]bdp!$L52</f>
        <v>1.98540227722414</v>
      </c>
    </row>
    <row r="53" spans="1:5" x14ac:dyDescent="0.35">
      <c r="A53">
        <v>2001</v>
      </c>
      <c r="B53" s="6">
        <f>[1]bdp!$C53</f>
        <v>-0.35014799260012502</v>
      </c>
      <c r="C53" s="6">
        <f>[1]bdp!$F53</f>
        <v>-1.8859066161868601</v>
      </c>
      <c r="D53" s="6">
        <f>[1]bdp!$I53</f>
        <v>-2.15682664959018</v>
      </c>
      <c r="E53" s="6">
        <f>[1]bdp!$L53</f>
        <v>2.03670778664788</v>
      </c>
    </row>
    <row r="54" spans="1:5" x14ac:dyDescent="0.35">
      <c r="A54">
        <v>2002</v>
      </c>
      <c r="B54" s="6">
        <f>[1]bdp!$C54</f>
        <v>0.59476869150126699</v>
      </c>
      <c r="C54" s="6">
        <f>[1]bdp!$F54</f>
        <v>-1.84072865229214</v>
      </c>
      <c r="D54" s="6">
        <f>[1]bdp!$I54</f>
        <v>-2.66802129725128</v>
      </c>
      <c r="E54" s="6">
        <f>[1]bdp!$L54</f>
        <v>1.88817756246961</v>
      </c>
    </row>
    <row r="55" spans="1:5" x14ac:dyDescent="0.35">
      <c r="A55">
        <v>2003</v>
      </c>
      <c r="B55" s="6">
        <f>[1]bdp!$C55</f>
        <v>1.51313831931623</v>
      </c>
      <c r="C55" s="6">
        <f>[1]bdp!$F55</f>
        <v>-1.53716111566981</v>
      </c>
      <c r="D55" s="6">
        <f>[1]bdp!$I55</f>
        <v>-3.6298774707436601</v>
      </c>
      <c r="E55" s="6">
        <f>[1]bdp!$L55</f>
        <v>2.06562172948016</v>
      </c>
    </row>
    <row r="56" spans="1:5" x14ac:dyDescent="0.35">
      <c r="A56">
        <v>2004</v>
      </c>
      <c r="B56" s="6">
        <f>[1]bdp!$C56</f>
        <v>4.5413842302086396</v>
      </c>
      <c r="C56" s="6">
        <f>[1]bdp!$F56</f>
        <v>-1.1062245664880199</v>
      </c>
      <c r="D56" s="6">
        <f>[1]bdp!$I56</f>
        <v>-5.5102279370602103</v>
      </c>
      <c r="E56" s="6">
        <f>[1]bdp!$L56</f>
        <v>2.1654746913261498</v>
      </c>
    </row>
    <row r="57" spans="1:5" x14ac:dyDescent="0.35">
      <c r="A57">
        <v>2005</v>
      </c>
      <c r="B57" s="6">
        <f>[1]bdp!$C57</f>
        <v>7.1202540954664402</v>
      </c>
      <c r="C57" s="6">
        <f>[1]bdp!$F57</f>
        <v>-1.1237428670912799</v>
      </c>
      <c r="D57" s="6">
        <f>[1]bdp!$I57</f>
        <v>-6.8222109781400597</v>
      </c>
      <c r="E57" s="6">
        <f>[1]bdp!$L57</f>
        <v>2.3867696408085499</v>
      </c>
    </row>
    <row r="58" spans="1:5" x14ac:dyDescent="0.35">
      <c r="A58">
        <v>2006</v>
      </c>
      <c r="B58" s="6">
        <f>[1]bdp!$C58</f>
        <v>10.2617757007466</v>
      </c>
      <c r="C58" s="6">
        <f>[1]bdp!$F58</f>
        <v>-0.84186012346914096</v>
      </c>
      <c r="D58" s="6">
        <f>[1]bdp!$I58</f>
        <v>-8.5894819077987403</v>
      </c>
      <c r="E58" s="6">
        <f>[1]bdp!$L58</f>
        <v>2.49542276789228</v>
      </c>
    </row>
    <row r="59" spans="1:5" x14ac:dyDescent="0.35">
      <c r="A59">
        <v>2007</v>
      </c>
      <c r="B59" s="6">
        <f>[1]bdp!$C59</f>
        <v>8.3051797550455202</v>
      </c>
      <c r="C59" s="6">
        <f>[1]bdp!$F59</f>
        <v>-1.1641851679783199</v>
      </c>
      <c r="D59" s="6">
        <f>[1]bdp!$I59</f>
        <v>-8.1051198580476207</v>
      </c>
      <c r="E59" s="6">
        <f>[1]bdp!$L59</f>
        <v>2.4491871207642202</v>
      </c>
    </row>
    <row r="60" spans="1:5" x14ac:dyDescent="0.35">
      <c r="A60">
        <v>2008</v>
      </c>
      <c r="B60" s="6">
        <f>[1]bdp!$C60</f>
        <v>2.1065392774801701</v>
      </c>
      <c r="C60" s="6">
        <f>[1]bdp!$F60</f>
        <v>-1.68537414887282</v>
      </c>
      <c r="D60" s="6">
        <f>[1]bdp!$I60</f>
        <v>-7.1675562697118602</v>
      </c>
      <c r="E60" s="6">
        <f>[1]bdp!$L60</f>
        <v>2.41287759111693</v>
      </c>
    </row>
    <row r="61" spans="1:5" x14ac:dyDescent="0.35">
      <c r="A61">
        <v>2009</v>
      </c>
      <c r="B61" s="6">
        <f>[1]bdp!$C61</f>
        <v>4.9673690626642504</v>
      </c>
      <c r="C61" s="6">
        <f>[1]bdp!$F61</f>
        <v>-0.96398845066937899</v>
      </c>
      <c r="D61" s="6">
        <f>[1]bdp!$I61</f>
        <v>-6.8911271221443897</v>
      </c>
      <c r="E61" s="6">
        <f>[1]bdp!$L61</f>
        <v>2.3668769001182199</v>
      </c>
    </row>
    <row r="62" spans="1:5" x14ac:dyDescent="0.35">
      <c r="A62">
        <v>2010</v>
      </c>
      <c r="B62" s="6">
        <f>[1]bdp!$C62</f>
        <v>4.6886368789939104</v>
      </c>
      <c r="C62" s="6">
        <f>[1]bdp!$F62</f>
        <v>-1.5787994128751499</v>
      </c>
      <c r="D62" s="6">
        <f>[1]bdp!$I62</f>
        <v>-7.5319010778004101</v>
      </c>
      <c r="E62" s="6">
        <f>[1]bdp!$L62</f>
        <v>2.0304057767832</v>
      </c>
    </row>
    <row r="63" spans="1:5" x14ac:dyDescent="0.35">
      <c r="A63">
        <v>2011</v>
      </c>
      <c r="B63" s="6">
        <f>[1]bdp!$C63</f>
        <v>5.3898079511125703</v>
      </c>
      <c r="C63" s="6">
        <f>[1]bdp!$F63</f>
        <v>-1.31139060570299</v>
      </c>
      <c r="D63" s="6">
        <f>[1]bdp!$I63</f>
        <v>-7.9198751326122796</v>
      </c>
      <c r="E63" s="6">
        <f>[1]bdp!$L63</f>
        <v>1.8701687627071599</v>
      </c>
    </row>
    <row r="64" spans="1:5" x14ac:dyDescent="0.35">
      <c r="A64">
        <v>2012</v>
      </c>
      <c r="B64" s="6">
        <f>[1]bdp!$C64</f>
        <v>3.3103143100465999</v>
      </c>
      <c r="C64" s="6">
        <f>[1]bdp!$F64</f>
        <v>-1.5924674255697799</v>
      </c>
      <c r="D64" s="6">
        <f>[1]bdp!$I64</f>
        <v>-6.8712244718704802</v>
      </c>
      <c r="E64" s="6">
        <f>[1]bdp!$L64</f>
        <v>2.3055665351414598</v>
      </c>
    </row>
    <row r="65" spans="1:5" x14ac:dyDescent="0.35">
      <c r="A65">
        <v>2013</v>
      </c>
      <c r="B65" s="6">
        <f>[1]bdp!$C65</f>
        <v>0.252365706705582</v>
      </c>
      <c r="C65" s="6">
        <f>[1]bdp!$F65</f>
        <v>-1.2763992728576601</v>
      </c>
      <c r="D65" s="6">
        <f>[1]bdp!$I65</f>
        <v>-6.0093365533893</v>
      </c>
      <c r="E65" s="6">
        <f>[1]bdp!$L65</f>
        <v>2.2245031621107398</v>
      </c>
    </row>
    <row r="66" spans="1:5" x14ac:dyDescent="0.35">
      <c r="A66">
        <v>2014</v>
      </c>
      <c r="B66" s="6">
        <f>[1]bdp!$C66</f>
        <v>-0.73546982394818095</v>
      </c>
      <c r="C66" s="6">
        <f>[1]bdp!$F66</f>
        <v>-1.3134515558972999</v>
      </c>
      <c r="D66" s="6">
        <f>[1]bdp!$I66</f>
        <v>-4.9344306787961001</v>
      </c>
      <c r="E66" s="6">
        <f>[1]bdp!$L66</f>
        <v>2.6529950968801899</v>
      </c>
    </row>
    <row r="67" spans="1:5" x14ac:dyDescent="0.35">
      <c r="A67">
        <v>2015</v>
      </c>
      <c r="B67" s="6">
        <f>[1]bdp!$C67</f>
        <v>-1.4979908736971299</v>
      </c>
      <c r="C67" s="6">
        <f>[1]bdp!$F67</f>
        <v>-1.4168693142712401</v>
      </c>
      <c r="D67" s="6">
        <f>[1]bdp!$I67</f>
        <v>-4.0176962130818596</v>
      </c>
      <c r="E67" s="6">
        <f>[1]bdp!$L67</f>
        <v>2.2663660029906598</v>
      </c>
    </row>
    <row r="68" spans="1:5" x14ac:dyDescent="0.35">
      <c r="A68">
        <v>2016</v>
      </c>
      <c r="B68" s="6">
        <f>[1]bdp!$C68</f>
        <v>0.98501428550879899</v>
      </c>
      <c r="C68" s="6">
        <f>[1]bdp!$F68</f>
        <v>-1.3628467569563301</v>
      </c>
      <c r="D68" s="6">
        <f>[1]bdp!$I68</f>
        <v>-4.5590986059516698</v>
      </c>
      <c r="E68" s="6">
        <f>[1]bdp!$L68</f>
        <v>2.6046310966600199</v>
      </c>
    </row>
    <row r="69" spans="1:5" x14ac:dyDescent="0.35">
      <c r="A69">
        <v>2017</v>
      </c>
      <c r="B69" s="6">
        <f>[1]bdp!$C69</f>
        <v>3.0426499513442899</v>
      </c>
      <c r="C69" s="6">
        <f>[1]bdp!$F69</f>
        <v>-1.3022693675704999</v>
      </c>
      <c r="D69" s="6">
        <f>[1]bdp!$I69</f>
        <v>-5.2722056000820503</v>
      </c>
      <c r="E69" s="6">
        <f>[1]bdp!$L69</f>
        <v>2.4642457241506399</v>
      </c>
    </row>
    <row r="70" spans="1:5" x14ac:dyDescent="0.35">
      <c r="A70">
        <v>2018</v>
      </c>
      <c r="B70" s="6">
        <f>[1]bdp!$C70</f>
        <v>3.1386094598985799</v>
      </c>
      <c r="C70" s="6">
        <f>[1]bdp!$F70</f>
        <v>-1.5659546098975701</v>
      </c>
      <c r="D70" s="6">
        <f>[1]bdp!$I70</f>
        <v>-4.9911112224672696</v>
      </c>
      <c r="E70" s="6">
        <f>[1]bdp!$L70</f>
        <v>2.1776149785075698</v>
      </c>
    </row>
    <row r="71" spans="1:5" x14ac:dyDescent="0.35">
      <c r="A71">
        <v>2019</v>
      </c>
      <c r="B71" s="6">
        <f>[1]bdp!$C71</f>
        <v>2.9142665513161399</v>
      </c>
      <c r="C71" s="6">
        <f>[1]bdp!$F71</f>
        <v>-1.7437608675284999</v>
      </c>
      <c r="D71" s="6">
        <f>[1]bdp!$I71</f>
        <v>-4.1410482998755702</v>
      </c>
      <c r="E71" s="6">
        <f>[1]bdp!$L71</f>
        <v>2.26782685032292</v>
      </c>
    </row>
    <row r="72" spans="1:5" x14ac:dyDescent="0.35">
      <c r="A72">
        <v>2020</v>
      </c>
      <c r="B72" s="6">
        <f>[1]bdp!$C72</f>
        <v>3.8612257196305899</v>
      </c>
      <c r="C72" s="6">
        <f>[1]bdp!$F72</f>
        <v>-2.4762062920594201</v>
      </c>
      <c r="D72" s="6">
        <f>[1]bdp!$I72</f>
        <v>-3.1909388190643302</v>
      </c>
      <c r="E72" s="6">
        <f>[1]bdp!$L72</f>
        <v>2.4370448765431401</v>
      </c>
    </row>
    <row r="73" spans="1:5" x14ac:dyDescent="0.35">
      <c r="A73">
        <v>2021</v>
      </c>
      <c r="B73" s="6">
        <f>[1]bdp!$C73</f>
        <v>6.4781545708861898</v>
      </c>
      <c r="C73" s="6">
        <f>[1]bdp!$F73</f>
        <v>-3.4672462210416399</v>
      </c>
      <c r="D73" s="6">
        <f>[1]bdp!$I73</f>
        <v>-7.8306010676627098</v>
      </c>
      <c r="E73" s="6">
        <f>[1]bdp!$L73</f>
        <v>2.55570811295147</v>
      </c>
    </row>
    <row r="74" spans="1:5" x14ac:dyDescent="0.35">
      <c r="A74">
        <v>2022</v>
      </c>
      <c r="B74" s="6">
        <f>[1]bdp!$C74</f>
        <v>4.0605957125868803</v>
      </c>
      <c r="C74" s="6">
        <f>[1]bdp!$F74</f>
        <v>-3.5710242062939499</v>
      </c>
      <c r="D74" s="6">
        <f>[1]bdp!$I74</f>
        <v>-6.89407531179278</v>
      </c>
      <c r="E74" s="6">
        <f>[1]bdp!$L74</f>
        <v>2.3574765143095102</v>
      </c>
    </row>
    <row r="75" spans="1:5" x14ac:dyDescent="0.35">
      <c r="A75">
        <v>2023</v>
      </c>
      <c r="B75" s="6">
        <f>[1]bdp!$C75</f>
        <v>6.2426336901298498</v>
      </c>
      <c r="C75" s="6">
        <f>[1]bdp!$F75</f>
        <v>-2.9210897128750899</v>
      </c>
      <c r="D75" s="6">
        <f>[1]bdp!$I75</f>
        <v>-5.37122034002505</v>
      </c>
      <c r="E75" s="6">
        <f>[1]bdp!$L75</f>
        <v>2.5229264663628999</v>
      </c>
    </row>
    <row r="76" spans="1:5" x14ac:dyDescent="0.35">
      <c r="A76">
        <v>2024</v>
      </c>
      <c r="B76" s="6">
        <f>[1]bdp!$C76</f>
        <v>8.1606450353431104</v>
      </c>
      <c r="C76" s="6">
        <f>[1]bdp!$F76</f>
        <v>-2.6775377664230402</v>
      </c>
      <c r="D76" s="6">
        <f>[1]bdp!$I76</f>
        <v>-5.7053565373206396</v>
      </c>
      <c r="E76" s="6">
        <f>[1]bdp!$L76</f>
        <v>2.5776418648461701</v>
      </c>
    </row>
    <row r="77" spans="1:5" x14ac:dyDescent="0.35">
      <c r="A77">
        <v>2025</v>
      </c>
      <c r="B77" s="6">
        <f>[1]bdp!$C77</f>
        <v>10.3617736066433</v>
      </c>
      <c r="C77" s="6">
        <f>[1]bdp!$F77</f>
        <v>-2.4068839392026802</v>
      </c>
      <c r="D77" s="6">
        <f>[1]bdp!$I77</f>
        <v>-6.7564000578568102</v>
      </c>
      <c r="E77" s="6">
        <f>[1]bdp!$L77</f>
        <v>2.3120718195929002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7"/>
  <sheetViews>
    <sheetView workbookViewId="0">
      <selection activeCell="B1" sqref="B1"/>
    </sheetView>
  </sheetViews>
  <sheetFormatPr defaultRowHeight="14.5" x14ac:dyDescent="0.35"/>
  <cols>
    <col min="1" max="1" width="14" customWidth="1"/>
    <col min="2" max="7" width="16" customWidth="1"/>
  </cols>
  <sheetData>
    <row r="1" spans="1:7" x14ac:dyDescent="0.35">
      <c r="A1" s="1" t="s">
        <v>0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 x14ac:dyDescent="0.35">
      <c r="A2">
        <v>1970</v>
      </c>
      <c r="B2" s="6">
        <f>[1]fiscal!$B2</f>
        <v>19.563212010530499</v>
      </c>
      <c r="C2" s="6">
        <f>[1]fiscal!$C2</f>
        <v>-14.906501273038501</v>
      </c>
      <c r="D2" s="6">
        <f>[1]fiscal!$D2</f>
        <v>-4.5442442079249297</v>
      </c>
      <c r="E2" s="6">
        <f>[1]fiscal!$G2</f>
        <v>-1.12338726692585</v>
      </c>
      <c r="F2" s="6">
        <f>[1]fiscal!$E2</f>
        <v>0.1525114302463102</v>
      </c>
    </row>
    <row r="3" spans="1:7" x14ac:dyDescent="0.35">
      <c r="A3">
        <v>1971</v>
      </c>
      <c r="B3" s="6">
        <f>[1]fiscal!$B3</f>
        <v>18.9160225568905</v>
      </c>
      <c r="C3" s="6">
        <f>[1]fiscal!$C3</f>
        <v>-15.427716929598001</v>
      </c>
      <c r="D3" s="6">
        <f>[1]fiscal!$D3</f>
        <v>-5.2512628004944704</v>
      </c>
      <c r="E3" s="6">
        <f>[1]fiscal!$G3</f>
        <v>-1.3201823564444499</v>
      </c>
      <c r="F3" s="6">
        <f>[1]fiscal!$E3</f>
        <v>1.602441609158503</v>
      </c>
    </row>
    <row r="4" spans="1:7" x14ac:dyDescent="0.35">
      <c r="A4">
        <v>1972</v>
      </c>
      <c r="B4" s="6">
        <f>[1]fiscal!$B4</f>
        <v>19.177872265286101</v>
      </c>
      <c r="C4" s="6">
        <f>[1]fiscal!$C4</f>
        <v>-16.022886625105698</v>
      </c>
      <c r="D4" s="6">
        <f>[1]fiscal!$D4</f>
        <v>-5.0058552166624599</v>
      </c>
      <c r="E4" s="6">
        <f>[1]fiscal!$G4</f>
        <v>-1.6613560249289401</v>
      </c>
      <c r="F4" s="6">
        <f>[1]fiscal!$E4</f>
        <v>0.5640448952246464</v>
      </c>
    </row>
    <row r="5" spans="1:7" x14ac:dyDescent="0.35">
      <c r="A5">
        <v>1973</v>
      </c>
      <c r="B5" s="6">
        <f>[1]fiscal!$B5</f>
        <v>18.067594965188199</v>
      </c>
      <c r="C5" s="6">
        <f>[1]fiscal!$C5</f>
        <v>-15.597660658258</v>
      </c>
      <c r="D5" s="6">
        <f>[1]fiscal!$D5</f>
        <v>-4.5484319283117403</v>
      </c>
      <c r="E5" s="6">
        <f>[1]fiscal!$G5</f>
        <v>-2.1510593820625501</v>
      </c>
      <c r="F5" s="6">
        <f>[1]fiscal!$E5</f>
        <v>-0.40475857129866011</v>
      </c>
    </row>
    <row r="6" spans="1:7" x14ac:dyDescent="0.35">
      <c r="A6">
        <v>1974</v>
      </c>
      <c r="B6" s="6">
        <f>[1]fiscal!$B6</f>
        <v>19.013995682019001</v>
      </c>
      <c r="C6" s="6">
        <f>[1]fiscal!$C6</f>
        <v>-14.922116960456</v>
      </c>
      <c r="D6" s="6">
        <f>[1]fiscal!$D6</f>
        <v>-4.8038760930130104</v>
      </c>
      <c r="E6" s="6">
        <f>[1]fiscal!$G6</f>
        <v>-2.33044230789592</v>
      </c>
      <c r="F6" s="6">
        <f>[1]fiscal!$E6</f>
        <v>-3.9381856528937513</v>
      </c>
    </row>
    <row r="7" spans="1:7" x14ac:dyDescent="0.35">
      <c r="A7">
        <v>1975</v>
      </c>
      <c r="B7" s="6">
        <f>[1]fiscal!$B7</f>
        <v>19.013902231022499</v>
      </c>
      <c r="C7" s="6">
        <f>[1]fiscal!$C7</f>
        <v>-16.566122085249901</v>
      </c>
      <c r="D7" s="6">
        <f>[1]fiscal!$D7</f>
        <v>-5.2529843602369004</v>
      </c>
      <c r="E7" s="6">
        <f>[1]fiscal!$G7</f>
        <v>-2.8776377801971602</v>
      </c>
      <c r="F7" s="6">
        <f>[1]fiscal!$E7</f>
        <v>-4.1084610407354782</v>
      </c>
    </row>
    <row r="8" spans="1:7" x14ac:dyDescent="0.35">
      <c r="A8">
        <v>1976</v>
      </c>
      <c r="B8" s="6">
        <f>[1]fiscal!$B8</f>
        <v>17.812752781607699</v>
      </c>
      <c r="C8" s="6">
        <f>[1]fiscal!$C8</f>
        <v>-16.81688751974</v>
      </c>
      <c r="D8" s="6">
        <f>[1]fiscal!$D8</f>
        <v>-5.45752193158543</v>
      </c>
      <c r="E8" s="6">
        <f>[1]fiscal!$G8</f>
        <v>-2.7153753128420899</v>
      </c>
      <c r="F8" s="6">
        <f>[1]fiscal!$E8</f>
        <v>-3.3614379501530207</v>
      </c>
    </row>
    <row r="9" spans="1:7" x14ac:dyDescent="0.35">
      <c r="A9">
        <v>1977</v>
      </c>
      <c r="B9" s="6">
        <f>[1]fiscal!$B9</f>
        <v>17.3754653467502</v>
      </c>
      <c r="C9" s="6">
        <f>[1]fiscal!$C9</f>
        <v>-17.419306629100799</v>
      </c>
      <c r="D9" s="6">
        <f>[1]fiscal!$D9</f>
        <v>-4.43280785713198</v>
      </c>
      <c r="E9" s="6">
        <f>[1]fiscal!$G9</f>
        <v>-4.2770923114857302</v>
      </c>
      <c r="F9" s="6">
        <f>[1]fiscal!$E9</f>
        <v>-1.4130914227923519</v>
      </c>
    </row>
    <row r="10" spans="1:7" x14ac:dyDescent="0.35">
      <c r="A10">
        <v>1978</v>
      </c>
      <c r="B10" s="6">
        <f>[1]fiscal!$B10</f>
        <v>17.6674798568136</v>
      </c>
      <c r="C10" s="6">
        <f>[1]fiscal!$C10</f>
        <v>-14.7687486010722</v>
      </c>
      <c r="D10" s="6">
        <f>[1]fiscal!$D10</f>
        <v>-3.7232664008454401</v>
      </c>
      <c r="E10" s="6">
        <f>[1]fiscal!$G10</f>
        <v>-5.7316258096130897</v>
      </c>
      <c r="F10" s="6">
        <f>[1]fiscal!$E10</f>
        <v>0.1991173865931346</v>
      </c>
    </row>
    <row r="11" spans="1:7" x14ac:dyDescent="0.35">
      <c r="A11">
        <v>1979</v>
      </c>
      <c r="B11" s="6">
        <f>[1]fiscal!$B11</f>
        <v>19.5084942688996</v>
      </c>
      <c r="C11" s="6">
        <f>[1]fiscal!$C11</f>
        <v>-11.03264734267</v>
      </c>
      <c r="D11" s="6">
        <f>[1]fiscal!$D11</f>
        <v>-4.4496992811895399</v>
      </c>
      <c r="E11" s="6">
        <f>[1]fiscal!$G11</f>
        <v>-5.8709699767445898</v>
      </c>
      <c r="F11" s="6">
        <f>[1]fiscal!$E11</f>
        <v>0.74983671702451993</v>
      </c>
    </row>
    <row r="12" spans="1:7" x14ac:dyDescent="0.35">
      <c r="A12">
        <v>1980</v>
      </c>
      <c r="B12" s="6">
        <f>[1]fiscal!$B12</f>
        <v>22.258784512762698</v>
      </c>
      <c r="C12" s="6">
        <f>[1]fiscal!$C12</f>
        <v>-14.8326061837487</v>
      </c>
      <c r="D12" s="6">
        <f>[1]fiscal!$D12</f>
        <v>-5.7473880152741401</v>
      </c>
      <c r="E12" s="6">
        <f>[1]fiscal!$G12</f>
        <v>-5.6091346953190904</v>
      </c>
      <c r="F12" s="6">
        <f>[1]fiscal!$E12</f>
        <v>-0.71101707405452252</v>
      </c>
    </row>
    <row r="13" spans="1:7" x14ac:dyDescent="0.35">
      <c r="A13">
        <v>1981</v>
      </c>
      <c r="B13" s="6">
        <f>[1]fiscal!$B13</f>
        <v>19.276451985027801</v>
      </c>
      <c r="C13" s="6">
        <f>[1]fiscal!$C13</f>
        <v>-14.314197018585</v>
      </c>
      <c r="D13" s="6">
        <f>[1]fiscal!$D13</f>
        <v>-5.6134105955235301</v>
      </c>
      <c r="E13" s="6">
        <f>[1]fiscal!$G13</f>
        <v>-5.6583178802877203</v>
      </c>
      <c r="F13" s="6">
        <f>[1]fiscal!$E13</f>
        <v>-1.7401572846122919</v>
      </c>
    </row>
    <row r="14" spans="1:7" x14ac:dyDescent="0.35">
      <c r="A14">
        <v>1982</v>
      </c>
      <c r="B14" s="6">
        <f>[1]fiscal!$B14</f>
        <v>18.649256930296701</v>
      </c>
      <c r="C14" s="6">
        <f>[1]fiscal!$C14</f>
        <v>-14.478690954945799</v>
      </c>
      <c r="D14" s="6">
        <f>[1]fiscal!$D14</f>
        <v>-4.5964098269669202</v>
      </c>
      <c r="E14" s="6">
        <f>[1]fiscal!$G14</f>
        <v>-5.27235244857971</v>
      </c>
      <c r="F14" s="6">
        <f>[1]fiscal!$E14</f>
        <v>-3.1904491740123726</v>
      </c>
    </row>
    <row r="15" spans="1:7" x14ac:dyDescent="0.35">
      <c r="A15">
        <v>1983</v>
      </c>
      <c r="B15" s="6">
        <f>[1]fiscal!$B15</f>
        <v>15.0693804793334</v>
      </c>
      <c r="C15" s="6">
        <f>[1]fiscal!$C15</f>
        <v>-14.686908893563499</v>
      </c>
      <c r="D15" s="6">
        <f>[1]fiscal!$D15</f>
        <v>-4.2508984818424098</v>
      </c>
      <c r="E15" s="6">
        <f>[1]fiscal!$G15</f>
        <v>-6.7767189787475299</v>
      </c>
      <c r="F15" s="6">
        <f>[1]fiscal!$E15</f>
        <v>-0.98349836340829189</v>
      </c>
    </row>
    <row r="16" spans="1:7" x14ac:dyDescent="0.35">
      <c r="A16">
        <v>1984</v>
      </c>
      <c r="B16" s="6">
        <f>[1]fiscal!$B16</f>
        <v>17.310158245241201</v>
      </c>
      <c r="C16" s="6">
        <f>[1]fiscal!$C16</f>
        <v>-13.2600628488208</v>
      </c>
      <c r="D16" s="6">
        <f>[1]fiscal!$D16</f>
        <v>-4.4525788890376203</v>
      </c>
      <c r="E16" s="6">
        <f>[1]fiscal!$G16</f>
        <v>-7.1330010676739803</v>
      </c>
      <c r="F16" s="6">
        <f>[1]fiscal!$E16</f>
        <v>-0.33175417592302647</v>
      </c>
    </row>
    <row r="17" spans="1:6" x14ac:dyDescent="0.35">
      <c r="A17">
        <v>1985</v>
      </c>
      <c r="B17" s="6">
        <f>[1]fiscal!$B17</f>
        <v>18.992071228793701</v>
      </c>
      <c r="C17" s="6">
        <f>[1]fiscal!$C17</f>
        <v>-12.806642787802</v>
      </c>
      <c r="D17" s="6">
        <f>[1]fiscal!$D17</f>
        <v>-3.65886343147382</v>
      </c>
      <c r="E17" s="6">
        <f>[1]fiscal!$G17</f>
        <v>-7.4533593287460498</v>
      </c>
      <c r="F17" s="6">
        <f>[1]fiscal!$E17</f>
        <v>1.2303812896472883</v>
      </c>
    </row>
    <row r="18" spans="1:6" x14ac:dyDescent="0.35">
      <c r="A18">
        <v>1986</v>
      </c>
      <c r="B18" s="6">
        <f>[1]fiscal!$B18</f>
        <v>18.0275295971927</v>
      </c>
      <c r="C18" s="6">
        <f>[1]fiscal!$C18</f>
        <v>-15.0483796729169</v>
      </c>
      <c r="D18" s="6">
        <f>[1]fiscal!$D18</f>
        <v>-4.14425967751556</v>
      </c>
      <c r="E18" s="6">
        <f>[1]fiscal!$G18</f>
        <v>-5.5289350039235199</v>
      </c>
      <c r="F18" s="6">
        <f>[1]fiscal!$E18</f>
        <v>-1.0818876280083085</v>
      </c>
    </row>
    <row r="19" spans="1:6" x14ac:dyDescent="0.35">
      <c r="A19">
        <v>1987</v>
      </c>
      <c r="B19" s="6">
        <f>[1]fiscal!$B19</f>
        <v>13.8823360718091</v>
      </c>
      <c r="C19" s="6">
        <f>[1]fiscal!$C19</f>
        <v>-15.027563715237999</v>
      </c>
      <c r="D19" s="6">
        <f>[1]fiscal!$D19</f>
        <v>-3.46533276197705</v>
      </c>
      <c r="E19" s="6">
        <f>[1]fiscal!$G19</f>
        <v>-5.1852100604999496</v>
      </c>
      <c r="F19" s="6">
        <f>[1]fiscal!$E19</f>
        <v>-0.35357177853732091</v>
      </c>
    </row>
    <row r="20" spans="1:6" x14ac:dyDescent="0.35">
      <c r="A20">
        <v>1988</v>
      </c>
      <c r="B20" s="6">
        <f>[1]fiscal!$B20</f>
        <v>11.7546621394262</v>
      </c>
      <c r="C20" s="6">
        <f>[1]fiscal!$C20</f>
        <v>-10.5150241824327</v>
      </c>
      <c r="D20" s="6">
        <f>[1]fiscal!$D20</f>
        <v>-2.3770816298552999</v>
      </c>
      <c r="E20" s="6">
        <f>[1]fiscal!$G20</f>
        <v>-7.23652576043553</v>
      </c>
      <c r="F20" s="6">
        <f>[1]fiscal!$E20</f>
        <v>-3.1747559210739817</v>
      </c>
    </row>
    <row r="21" spans="1:6" x14ac:dyDescent="0.35">
      <c r="A21">
        <v>1989</v>
      </c>
      <c r="B21" s="6">
        <f>[1]fiscal!$B21</f>
        <v>9.26914951615686</v>
      </c>
      <c r="C21" s="6">
        <f>[1]fiscal!$C21</f>
        <v>-10.6690767149334</v>
      </c>
      <c r="D21" s="6">
        <f>[1]fiscal!$D21</f>
        <v>-3.1908150328406202</v>
      </c>
      <c r="E21" s="6">
        <f>[1]fiscal!$G21</f>
        <v>-7.0234641856281197</v>
      </c>
      <c r="F21" s="6">
        <f>[1]fiscal!$E21</f>
        <v>0.3153837385144791</v>
      </c>
    </row>
    <row r="22" spans="1:6" x14ac:dyDescent="0.35">
      <c r="A22">
        <v>1990</v>
      </c>
      <c r="B22" s="6">
        <f>[1]fiscal!$B22</f>
        <v>13.724353131094301</v>
      </c>
      <c r="C22" s="6">
        <f>[1]fiscal!$C22</f>
        <v>-11.823817050051</v>
      </c>
      <c r="D22" s="6">
        <f>[1]fiscal!$D22</f>
        <v>-2.0453658060493098</v>
      </c>
      <c r="E22" s="6">
        <f>[1]fiscal!$G22</f>
        <v>-9.0877555892729003</v>
      </c>
      <c r="F22" s="6">
        <f>[1]fiscal!$E22</f>
        <v>0.30103826175956039</v>
      </c>
    </row>
    <row r="23" spans="1:6" x14ac:dyDescent="0.35">
      <c r="A23">
        <v>1991</v>
      </c>
      <c r="B23" s="6">
        <f>[1]fiscal!$B23</f>
        <v>15.756835867314599</v>
      </c>
      <c r="C23" s="6">
        <f>[1]fiscal!$C23</f>
        <v>-11.2599400669394</v>
      </c>
      <c r="D23" s="6">
        <f>[1]fiscal!$D23</f>
        <v>-2.8576371013480601</v>
      </c>
      <c r="E23" s="6">
        <f>[1]fiscal!$G23</f>
        <v>-4.7400030208708497</v>
      </c>
      <c r="F23" s="6">
        <f>[1]fiscal!$E23</f>
        <v>0.17935719074584089</v>
      </c>
    </row>
    <row r="24" spans="1:6" x14ac:dyDescent="0.35">
      <c r="A24">
        <v>1992</v>
      </c>
      <c r="B24" s="6">
        <f>[1]fiscal!$B24</f>
        <v>17.106702477799701</v>
      </c>
      <c r="C24" s="6">
        <f>[1]fiscal!$C24</f>
        <v>-12.5371875405721</v>
      </c>
      <c r="D24" s="6">
        <f>[1]fiscal!$D24</f>
        <v>-4.0774029343224099</v>
      </c>
      <c r="E24" s="6">
        <f>[1]fiscal!$G24</f>
        <v>-5.2303006221477704</v>
      </c>
      <c r="F24" s="6">
        <f>[1]fiscal!$E24</f>
        <v>0.74962350394284893</v>
      </c>
    </row>
    <row r="25" spans="1:6" x14ac:dyDescent="0.35">
      <c r="A25">
        <v>1993</v>
      </c>
      <c r="B25" s="6">
        <f>[1]fiscal!$B25</f>
        <v>16.841173356974501</v>
      </c>
      <c r="C25" s="6">
        <f>[1]fiscal!$C25</f>
        <v>-11.6159560740593</v>
      </c>
      <c r="D25" s="6">
        <f>[1]fiscal!$D25</f>
        <v>-4.4032910607446798</v>
      </c>
      <c r="E25" s="6">
        <f>[1]fiscal!$G25</f>
        <v>-4.6592930953191596</v>
      </c>
      <c r="F25" s="6">
        <f>[1]fiscal!$E25</f>
        <v>0.70349833509380844</v>
      </c>
    </row>
    <row r="26" spans="1:6" x14ac:dyDescent="0.35">
      <c r="A26">
        <v>1994</v>
      </c>
      <c r="B26" s="6">
        <f>[1]fiscal!$B26</f>
        <v>18.000677561186901</v>
      </c>
      <c r="C26" s="6">
        <f>[1]fiscal!$C26</f>
        <v>-12.196936722114399</v>
      </c>
      <c r="D26" s="6">
        <f>[1]fiscal!$D26</f>
        <v>-5.3557677101718699</v>
      </c>
      <c r="E26" s="6">
        <f>[1]fiscal!$G26</f>
        <v>-3.94426036928609</v>
      </c>
      <c r="F26" s="6">
        <f>[1]fiscal!$E26</f>
        <v>0.58393549730387662</v>
      </c>
    </row>
    <row r="27" spans="1:6" x14ac:dyDescent="0.35">
      <c r="A27">
        <v>1995</v>
      </c>
      <c r="B27" s="6">
        <f>[1]fiscal!$B27</f>
        <v>18.619199146952099</v>
      </c>
      <c r="C27" s="6">
        <f>[1]fiscal!$C27</f>
        <v>-13.1496436705904</v>
      </c>
      <c r="D27" s="6">
        <f>[1]fiscal!$D27</f>
        <v>-5.1436760287045402</v>
      </c>
      <c r="E27" s="6">
        <f>[1]fiscal!$G27</f>
        <v>-3.7064322569165902</v>
      </c>
      <c r="F27" s="6">
        <f>[1]fiscal!$E27</f>
        <v>1.2101094023471148E-2</v>
      </c>
    </row>
    <row r="28" spans="1:6" x14ac:dyDescent="0.35">
      <c r="A28">
        <v>1996</v>
      </c>
      <c r="B28" s="6">
        <f>[1]fiscal!$B28</f>
        <v>19.440661363215099</v>
      </c>
      <c r="C28" s="6">
        <f>[1]fiscal!$C28</f>
        <v>-13.5480356889856</v>
      </c>
      <c r="D28" s="6">
        <f>[1]fiscal!$D28</f>
        <v>-4.7599379678390497</v>
      </c>
      <c r="E28" s="6">
        <f>[1]fiscal!$G28</f>
        <v>-2.7941498405190801</v>
      </c>
      <c r="F28" s="6">
        <f>[1]fiscal!$E28</f>
        <v>0.52578761225915027</v>
      </c>
    </row>
    <row r="29" spans="1:6" x14ac:dyDescent="0.35">
      <c r="A29">
        <v>1997</v>
      </c>
      <c r="B29" s="6">
        <f>[1]fiscal!$B29</f>
        <v>19.966413289924699</v>
      </c>
      <c r="C29" s="6">
        <f>[1]fiscal!$C29</f>
        <v>-13.564886968482</v>
      </c>
      <c r="D29" s="6">
        <f>[1]fiscal!$D29</f>
        <v>-4.8425084591730299</v>
      </c>
      <c r="E29" s="6">
        <f>[1]fiscal!$G29</f>
        <v>-2.1326970486134802</v>
      </c>
      <c r="F29" s="6">
        <f>[1]fiscal!$E29</f>
        <v>0.64130718684468935</v>
      </c>
    </row>
    <row r="30" spans="1:6" x14ac:dyDescent="0.35">
      <c r="A30">
        <v>1998</v>
      </c>
      <c r="B30" s="6">
        <f>[1]fiscal!$B30</f>
        <v>19.909133359738799</v>
      </c>
      <c r="C30" s="6">
        <f>[1]fiscal!$C30</f>
        <v>-14.155967942096501</v>
      </c>
      <c r="D30" s="6">
        <f>[1]fiscal!$D30</f>
        <v>-4.5050961655335202</v>
      </c>
      <c r="E30" s="6">
        <f>[1]fiscal!$G30</f>
        <v>-2.2960465106888002</v>
      </c>
      <c r="F30" s="6">
        <f>[1]fiscal!$E30</f>
        <v>1.0317453566442758E-2</v>
      </c>
    </row>
    <row r="31" spans="1:6" x14ac:dyDescent="0.35">
      <c r="A31">
        <v>1999</v>
      </c>
      <c r="B31" s="6">
        <f>[1]fiscal!$B31</f>
        <v>18.6865045369087</v>
      </c>
      <c r="C31" s="6">
        <f>[1]fiscal!$C31</f>
        <v>-15.188257193400601</v>
      </c>
      <c r="D31" s="6">
        <f>[1]fiscal!$D31</f>
        <v>-4.5379387697173401</v>
      </c>
      <c r="E31" s="6">
        <f>[1]fiscal!$G31</f>
        <v>-2.49089144203595</v>
      </c>
      <c r="F31" s="6">
        <f>[1]fiscal!$E31</f>
        <v>0.11746410265620977</v>
      </c>
    </row>
    <row r="32" spans="1:6" x14ac:dyDescent="0.35">
      <c r="A32">
        <v>2000</v>
      </c>
      <c r="B32" s="6">
        <f>[1]fiscal!$B32</f>
        <v>18.931427622904302</v>
      </c>
      <c r="C32" s="6">
        <f>[1]fiscal!$C32</f>
        <v>-15.483685240603601</v>
      </c>
      <c r="D32" s="6">
        <f>[1]fiscal!$D32</f>
        <v>-3.8261807680521902</v>
      </c>
      <c r="E32" s="6">
        <f>[1]fiscal!$G32</f>
        <v>-2.62379452113339</v>
      </c>
      <c r="F32" s="6">
        <f>[1]fiscal!$E32</f>
        <v>-0.42789380151842371</v>
      </c>
    </row>
    <row r="33" spans="1:6" x14ac:dyDescent="0.35">
      <c r="A33">
        <v>2001</v>
      </c>
      <c r="B33" s="6">
        <f>[1]fiscal!$B33</f>
        <v>17.9273761811057</v>
      </c>
      <c r="C33" s="6">
        <f>[1]fiscal!$C33</f>
        <v>-15.4162701960805</v>
      </c>
      <c r="D33" s="6">
        <f>[1]fiscal!$D33</f>
        <v>-3.1271320598893602</v>
      </c>
      <c r="E33" s="6">
        <f>[1]fiscal!$G33</f>
        <v>-2.3835275490050001</v>
      </c>
      <c r="F33" s="6">
        <f>[1]fiscal!$E33</f>
        <v>0.17851968767117432</v>
      </c>
    </row>
    <row r="34" spans="1:6" x14ac:dyDescent="0.35">
      <c r="A34">
        <v>2002</v>
      </c>
      <c r="B34" s="6">
        <f>[1]fiscal!$B34</f>
        <v>18.0915108575748</v>
      </c>
      <c r="C34" s="6">
        <f>[1]fiscal!$C34</f>
        <v>-15.210148347826401</v>
      </c>
      <c r="D34" s="6">
        <f>[1]fiscal!$D34</f>
        <v>-2.8562451972074498</v>
      </c>
      <c r="E34" s="6">
        <f>[1]fiscal!$G34</f>
        <v>-2.2565299557591101</v>
      </c>
      <c r="F34" s="6">
        <f>[1]fiscal!$E34</f>
        <v>-8.1598052546180355E-2</v>
      </c>
    </row>
    <row r="35" spans="1:6" x14ac:dyDescent="0.35">
      <c r="A35">
        <v>2003</v>
      </c>
      <c r="B35" s="6">
        <f>[1]fiscal!$B35</f>
        <v>18.347126234662898</v>
      </c>
      <c r="C35" s="6">
        <f>[1]fiscal!$C35</f>
        <v>-15.176770133291299</v>
      </c>
      <c r="D35" s="6">
        <f>[1]fiscal!$D35</f>
        <v>-2.8006520281938498</v>
      </c>
      <c r="E35" s="6">
        <f>[1]fiscal!$G35</f>
        <v>-2.2616869139205802</v>
      </c>
      <c r="F35" s="6">
        <f>[1]fiscal!$E35</f>
        <v>0.13843209999252926</v>
      </c>
    </row>
    <row r="36" spans="1:6" x14ac:dyDescent="0.35">
      <c r="A36">
        <v>2004</v>
      </c>
      <c r="B36" s="6">
        <f>[1]fiscal!$B36</f>
        <v>18.384705898666802</v>
      </c>
      <c r="C36" s="6">
        <f>[1]fiscal!$C36</f>
        <v>-14.7936708569712</v>
      </c>
      <c r="D36" s="6">
        <f>[1]fiscal!$D36</f>
        <v>-2.80233088008299</v>
      </c>
      <c r="E36" s="6">
        <f>[1]fiscal!$G36</f>
        <v>-2.1557472946597702</v>
      </c>
      <c r="F36" s="6">
        <f>[1]fiscal!$E36</f>
        <v>0.23375261681178738</v>
      </c>
    </row>
    <row r="37" spans="1:6" x14ac:dyDescent="0.35">
      <c r="A37">
        <v>2005</v>
      </c>
      <c r="B37" s="6">
        <f>[1]fiscal!$B37</f>
        <v>19.456822931259602</v>
      </c>
      <c r="C37" s="6">
        <f>[1]fiscal!$C37</f>
        <v>-15.2190664504552</v>
      </c>
      <c r="D37" s="6">
        <f>[1]fiscal!$D37</f>
        <v>-2.96663871561283</v>
      </c>
      <c r="E37" s="6">
        <f>[1]fiscal!$G37</f>
        <v>-2.0687739697428702</v>
      </c>
      <c r="F37" s="6">
        <f>[1]fiscal!$E37</f>
        <v>0.44220013902927935</v>
      </c>
    </row>
    <row r="38" spans="1:6" x14ac:dyDescent="0.35">
      <c r="A38">
        <v>2006</v>
      </c>
      <c r="B38" s="6">
        <f>[1]fiscal!$B38</f>
        <v>21.046784261316301</v>
      </c>
      <c r="C38" s="6">
        <f>[1]fiscal!$C38</f>
        <v>-13.823267266115099</v>
      </c>
      <c r="D38" s="6">
        <f>[1]fiscal!$D38</f>
        <v>-3.2373509610713498</v>
      </c>
      <c r="E38" s="6">
        <f>[1]fiscal!$G38</f>
        <v>-1.9767217623646101</v>
      </c>
      <c r="F38" s="6">
        <f>[1]fiscal!$E38</f>
        <v>0.45677639713035845</v>
      </c>
    </row>
    <row r="39" spans="1:6" x14ac:dyDescent="0.35">
      <c r="A39">
        <v>2007</v>
      </c>
      <c r="B39" s="6">
        <f>[1]fiscal!$B39</f>
        <v>21.760054617313401</v>
      </c>
      <c r="C39" s="6">
        <f>[1]fiscal!$C39</f>
        <v>-13.669780246500601</v>
      </c>
      <c r="D39" s="6">
        <f>[1]fiscal!$D39</f>
        <v>-3.4643810618500801</v>
      </c>
      <c r="E39" s="6">
        <f>[1]fiscal!$G39</f>
        <v>-1.8789439660681699</v>
      </c>
      <c r="F39" s="6">
        <f>[1]fiscal!$E39</f>
        <v>0.31806336664934065</v>
      </c>
    </row>
    <row r="40" spans="1:6" x14ac:dyDescent="0.35">
      <c r="A40">
        <v>2008</v>
      </c>
      <c r="B40" s="6">
        <f>[1]fiscal!$B40</f>
        <v>22.241355861611002</v>
      </c>
      <c r="C40" s="6">
        <f>[1]fiscal!$C40</f>
        <v>-13.805910286801399</v>
      </c>
      <c r="D40" s="6">
        <f>[1]fiscal!$D40</f>
        <v>-4.3979670626902996</v>
      </c>
      <c r="E40" s="6">
        <f>[1]fiscal!$G40</f>
        <v>-1.66358486649022</v>
      </c>
      <c r="F40" s="6">
        <f>[1]fiscal!$E40</f>
        <v>0.15192160377162711</v>
      </c>
    </row>
    <row r="41" spans="1:6" x14ac:dyDescent="0.35">
      <c r="A41">
        <v>2009</v>
      </c>
      <c r="B41" s="6">
        <f>[1]fiscal!$B41</f>
        <v>19.753920473885501</v>
      </c>
      <c r="C41" s="6">
        <f>[1]fiscal!$C41</f>
        <v>-14.172657634198901</v>
      </c>
      <c r="D41" s="6">
        <f>[1]fiscal!$D41</f>
        <v>-5.8349468661310198</v>
      </c>
      <c r="E41" s="6">
        <f>[1]fiscal!$G41</f>
        <v>-1.3601101140977101</v>
      </c>
      <c r="F41" s="6">
        <f>[1]fiscal!$E41</f>
        <v>0.32746098961827208</v>
      </c>
    </row>
    <row r="42" spans="1:6" x14ac:dyDescent="0.35">
      <c r="A42">
        <v>2010</v>
      </c>
      <c r="B42" s="6">
        <f>[1]fiscal!$B42</f>
        <v>20.799879375254701</v>
      </c>
      <c r="C42" s="6">
        <f>[1]fiscal!$C42</f>
        <v>-13.6359470851749</v>
      </c>
      <c r="D42" s="6">
        <f>[1]fiscal!$D42</f>
        <v>-6.1807255171195701</v>
      </c>
      <c r="E42" s="6">
        <f>[1]fiscal!$G42</f>
        <v>-1.20530359564617</v>
      </c>
      <c r="F42" s="6">
        <f>[1]fiscal!$E42</f>
        <v>4.6913474332000327E-2</v>
      </c>
    </row>
    <row r="43" spans="1:6" x14ac:dyDescent="0.35">
      <c r="A43">
        <v>2011</v>
      </c>
      <c r="B43" s="6">
        <f>[1]fiscal!$B43</f>
        <v>21.785159493502299</v>
      </c>
      <c r="C43" s="6">
        <f>[1]fiscal!$C43</f>
        <v>-13.454457453789701</v>
      </c>
      <c r="D43" s="6">
        <f>[1]fiscal!$D43</f>
        <v>-5.18021620131685</v>
      </c>
      <c r="E43" s="6">
        <f>[1]fiscal!$G43</f>
        <v>-1.1788168066468501</v>
      </c>
      <c r="F43" s="6">
        <f>[1]fiscal!$E43</f>
        <v>0.10887267920537358</v>
      </c>
    </row>
    <row r="44" spans="1:6" x14ac:dyDescent="0.35">
      <c r="A44">
        <v>2012</v>
      </c>
      <c r="B44" s="6">
        <f>[1]fiscal!$B44</f>
        <v>22.325323414805698</v>
      </c>
      <c r="C44" s="6">
        <f>[1]fiscal!$C44</f>
        <v>-13.557694438335799</v>
      </c>
      <c r="D44" s="6">
        <f>[1]fiscal!$D44</f>
        <v>-5.67144174949647</v>
      </c>
      <c r="E44" s="6">
        <f>[1]fiscal!$G44</f>
        <v>-1.09371042292062</v>
      </c>
      <c r="F44" s="6">
        <f>[1]fiscal!$E44</f>
        <v>0.27064977690647218</v>
      </c>
    </row>
    <row r="45" spans="1:6" x14ac:dyDescent="0.35">
      <c r="A45">
        <v>2013</v>
      </c>
      <c r="B45" s="6">
        <f>[1]fiscal!$B45</f>
        <v>22.042040975641999</v>
      </c>
      <c r="C45" s="6">
        <f>[1]fiscal!$C45</f>
        <v>-14.2766155266343</v>
      </c>
      <c r="D45" s="6">
        <f>[1]fiscal!$D45</f>
        <v>-6.0938594574831697</v>
      </c>
      <c r="E45" s="6">
        <f>[1]fiscal!$G45</f>
        <v>-1.1100590998169599</v>
      </c>
      <c r="F45" s="6">
        <f>[1]fiscal!$E45</f>
        <v>0.32271250866452128</v>
      </c>
    </row>
    <row r="46" spans="1:6" x14ac:dyDescent="0.35">
      <c r="A46">
        <v>2014</v>
      </c>
      <c r="B46" s="6">
        <f>[1]fiscal!$B46</f>
        <v>22.095837226289898</v>
      </c>
      <c r="C46" s="6">
        <f>[1]fiscal!$C46</f>
        <v>-15.417078515891401</v>
      </c>
      <c r="D46" s="6">
        <f>[1]fiscal!$D46</f>
        <v>-5.9361134331380399</v>
      </c>
      <c r="E46" s="6">
        <f>[1]fiscal!$G46</f>
        <v>-1.0722009027275099</v>
      </c>
      <c r="F46" s="6">
        <f>[1]fiscal!$E46</f>
        <v>7.7972208072790039E-2</v>
      </c>
    </row>
    <row r="47" spans="1:6" x14ac:dyDescent="0.35">
      <c r="A47">
        <v>2015</v>
      </c>
      <c r="B47" s="6">
        <f>[1]fiscal!$B47</f>
        <v>19.876262059637899</v>
      </c>
      <c r="C47" s="6">
        <f>[1]fiscal!$C47</f>
        <v>-15.614745266762</v>
      </c>
      <c r="D47" s="6">
        <f>[1]fiscal!$D47</f>
        <v>-5.3595236892841998</v>
      </c>
      <c r="E47" s="6">
        <f>[1]fiscal!$G47</f>
        <v>-1.03152539157839</v>
      </c>
      <c r="F47" s="6">
        <f>[1]fiscal!$E47</f>
        <v>0.21343314453465201</v>
      </c>
    </row>
    <row r="48" spans="1:6" x14ac:dyDescent="0.35">
      <c r="A48">
        <v>2016</v>
      </c>
      <c r="B48" s="6">
        <f>[1]fiscal!$B48</f>
        <v>18.245470132319699</v>
      </c>
      <c r="C48" s="6">
        <f>[1]fiscal!$C48</f>
        <v>-14.908403860137399</v>
      </c>
      <c r="D48" s="6">
        <f>[1]fiscal!$D48</f>
        <v>-4.5668672952449798</v>
      </c>
      <c r="E48" s="6">
        <f>[1]fiscal!$G48</f>
        <v>-1.06944954549409</v>
      </c>
      <c r="F48" s="6">
        <f>[1]fiscal!$E48</f>
        <v>-1.7534421632238839E-2</v>
      </c>
    </row>
    <row r="49" spans="1:6" x14ac:dyDescent="0.35">
      <c r="A49">
        <v>2017</v>
      </c>
      <c r="B49" s="6">
        <f>[1]fiscal!$B49</f>
        <v>17.653719647268701</v>
      </c>
      <c r="C49" s="6">
        <f>[1]fiscal!$C49</f>
        <v>-14.915409327769799</v>
      </c>
      <c r="D49" s="6">
        <f>[1]fiscal!$D49</f>
        <v>-4.6163616601370796</v>
      </c>
      <c r="E49" s="6">
        <f>[1]fiscal!$G49</f>
        <v>-1.1672032322400701</v>
      </c>
      <c r="F49" s="6">
        <f>[1]fiscal!$E49</f>
        <v>9.7670612044827188E-2</v>
      </c>
    </row>
    <row r="50" spans="1:6" x14ac:dyDescent="0.35">
      <c r="A50">
        <v>2018</v>
      </c>
      <c r="B50" s="6">
        <f>[1]fiscal!$B50</f>
        <v>18.870725446040002</v>
      </c>
      <c r="C50" s="6">
        <f>[1]fiscal!$C50</f>
        <v>-14.9668918508779</v>
      </c>
      <c r="D50" s="6">
        <f>[1]fiscal!$D50</f>
        <v>-4.7837707372104301</v>
      </c>
      <c r="E50" s="6">
        <f>[1]fiscal!$G50</f>
        <v>-1.32568340542684</v>
      </c>
      <c r="F50" s="6">
        <f>[1]fiscal!$E50</f>
        <v>-5.7892730842054263E-2</v>
      </c>
    </row>
    <row r="51" spans="1:6" x14ac:dyDescent="0.35">
      <c r="A51">
        <v>2019</v>
      </c>
      <c r="B51" s="6">
        <f>[1]fiscal!$B51</f>
        <v>19.2466022244942</v>
      </c>
      <c r="C51" s="6">
        <f>[1]fiscal!$C51</f>
        <v>-15.1300040054983</v>
      </c>
      <c r="D51" s="6">
        <f>[1]fiscal!$D51</f>
        <v>-4.4393858039005796</v>
      </c>
      <c r="E51" s="6">
        <f>[1]fiscal!$G51</f>
        <v>-1.35174033047604</v>
      </c>
      <c r="F51" s="6">
        <f>[1]fiscal!$E51</f>
        <v>8.2849582569407332E-2</v>
      </c>
    </row>
    <row r="52" spans="1:6" x14ac:dyDescent="0.35">
      <c r="A52">
        <v>2020</v>
      </c>
      <c r="B52" s="6">
        <f>[1]fiscal!$B52</f>
        <v>17.4220622762289</v>
      </c>
      <c r="C52" s="6">
        <f>[1]fiscal!$C52</f>
        <v>-19.796844200312801</v>
      </c>
      <c r="D52" s="6">
        <f>[1]fiscal!$D52</f>
        <v>-4.3920067115062498</v>
      </c>
      <c r="E52" s="6">
        <f>[1]fiscal!$G52</f>
        <v>-1.56854565747426</v>
      </c>
      <c r="F52" s="6">
        <f>[1]fiscal!$E52</f>
        <v>-0.37561255435416818</v>
      </c>
    </row>
    <row r="53" spans="1:6" x14ac:dyDescent="0.35">
      <c r="A53">
        <v>2021</v>
      </c>
      <c r="B53" s="6">
        <f>[1]fiscal!$B53</f>
        <v>20.608033797162001</v>
      </c>
      <c r="C53" s="6">
        <f>[1]fiscal!$C53</f>
        <v>-16.837831924246998</v>
      </c>
      <c r="D53" s="6">
        <f>[1]fiscal!$D53</f>
        <v>-4.9274801452226198</v>
      </c>
      <c r="E53" s="6">
        <f>[1]fiscal!$G53</f>
        <v>-1.4794344521931999</v>
      </c>
      <c r="F53" s="6">
        <f>[1]fiscal!$E53</f>
        <v>0.15246630367018721</v>
      </c>
    </row>
    <row r="54" spans="1:6" x14ac:dyDescent="0.35">
      <c r="A54">
        <v>2022</v>
      </c>
      <c r="B54" s="6">
        <f>[1]fiscal!$B54</f>
        <v>21.750124692113801</v>
      </c>
      <c r="C54" s="6">
        <f>[1]fiscal!$C54</f>
        <v>-15.710309960296801</v>
      </c>
      <c r="D54" s="6">
        <f>[1]fiscal!$D54</f>
        <v>-5.9754307731679699</v>
      </c>
      <c r="E54" s="6">
        <f>[1]fiscal!$G54</f>
        <v>-1.5421028386669799</v>
      </c>
      <c r="F54" s="6">
        <f>[1]fiscal!$E54</f>
        <v>-0.19894337400724815</v>
      </c>
    </row>
    <row r="55" spans="1:6" x14ac:dyDescent="0.35">
      <c r="A55">
        <v>2023</v>
      </c>
      <c r="B55" s="6">
        <f>[1]fiscal!$B55</f>
        <v>19.4291634631197</v>
      </c>
      <c r="C55" s="6">
        <f>[1]fiscal!$C55</f>
        <v>-15.3626737041588</v>
      </c>
      <c r="D55" s="6">
        <f>[1]fiscal!$D55</f>
        <v>-5.1972303065139798</v>
      </c>
      <c r="E55" s="6">
        <f>[1]fiscal!$G55</f>
        <v>-1.6413034556233801</v>
      </c>
      <c r="F55" s="6">
        <f>[1]fiscal!$E55</f>
        <v>2.1126088579309865E-2</v>
      </c>
    </row>
    <row r="56" spans="1:6" x14ac:dyDescent="0.35">
      <c r="A56">
        <v>2024</v>
      </c>
      <c r="B56" s="6">
        <f>[1]fiscal!$B56</f>
        <v>18.697563982641501</v>
      </c>
      <c r="C56" s="6">
        <f>[1]fiscal!$C56</f>
        <v>-14.645450071855</v>
      </c>
      <c r="D56" s="6">
        <f>[1]fiscal!$D56</f>
        <v>-6.0740734429717103</v>
      </c>
      <c r="E56" s="6">
        <f>[1]fiscal!$G56</f>
        <v>-1.67075806046007</v>
      </c>
      <c r="F56" s="6">
        <f>[1]fiscal!$E56</f>
        <v>0.24324316042533933</v>
      </c>
    </row>
    <row r="57" spans="1:6" x14ac:dyDescent="0.35">
      <c r="A57">
        <v>2025</v>
      </c>
      <c r="B57" s="6">
        <f>[1]fiscal!$B57</f>
        <v>18.9928543582317</v>
      </c>
      <c r="C57" s="6">
        <f>[1]fiscal!$C57</f>
        <v>-14.306978719485199</v>
      </c>
      <c r="D57" s="6">
        <f>[1]fiscal!$D57</f>
        <v>-5.6052517788986798</v>
      </c>
      <c r="E57" s="6">
        <f>[1]fiscal!$G57</f>
        <v>-1.58396375283769</v>
      </c>
      <c r="F57" s="6">
        <f>[1]fiscal!$E57</f>
        <v>0.32662246627003633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5" x14ac:dyDescent="0.35"/>
  <cols>
    <col min="1" max="1" width="14" customWidth="1"/>
    <col min="2" max="5" width="16" customWidth="1"/>
  </cols>
  <sheetData>
    <row r="1" spans="1:5" x14ac:dyDescent="0.35">
      <c r="A1" s="1" t="s">
        <v>0</v>
      </c>
      <c r="B1" s="1" t="s">
        <v>34</v>
      </c>
      <c r="C1" s="1" t="s">
        <v>35</v>
      </c>
      <c r="D1" s="1" t="s">
        <v>36</v>
      </c>
      <c r="E1" s="1" t="s">
        <v>37</v>
      </c>
    </row>
    <row r="2" spans="1:5" x14ac:dyDescent="0.35">
      <c r="A2">
        <v>1960</v>
      </c>
    </row>
    <row r="3" spans="1:5" x14ac:dyDescent="0.35">
      <c r="A3">
        <v>1961</v>
      </c>
    </row>
    <row r="4" spans="1:5" x14ac:dyDescent="0.35">
      <c r="A4">
        <v>1962</v>
      </c>
    </row>
    <row r="5" spans="1:5" x14ac:dyDescent="0.35">
      <c r="A5">
        <v>1963</v>
      </c>
    </row>
    <row r="6" spans="1:5" x14ac:dyDescent="0.35">
      <c r="A6">
        <v>1964</v>
      </c>
    </row>
    <row r="7" spans="1:5" x14ac:dyDescent="0.35">
      <c r="A7">
        <v>1965</v>
      </c>
    </row>
    <row r="8" spans="1:5" x14ac:dyDescent="0.35">
      <c r="A8">
        <v>1966</v>
      </c>
    </row>
    <row r="9" spans="1:5" x14ac:dyDescent="0.35">
      <c r="A9">
        <v>1967</v>
      </c>
    </row>
    <row r="10" spans="1:5" x14ac:dyDescent="0.35">
      <c r="A10">
        <v>1968</v>
      </c>
    </row>
    <row r="11" spans="1:5" x14ac:dyDescent="0.35">
      <c r="A11">
        <v>1969</v>
      </c>
    </row>
    <row r="12" spans="1:5" x14ac:dyDescent="0.35">
      <c r="A12">
        <v>1970</v>
      </c>
    </row>
    <row r="13" spans="1:5" x14ac:dyDescent="0.35">
      <c r="A13">
        <v>1971</v>
      </c>
    </row>
    <row r="14" spans="1:5" x14ac:dyDescent="0.35">
      <c r="A14">
        <v>1972</v>
      </c>
    </row>
    <row r="15" spans="1:5" x14ac:dyDescent="0.35">
      <c r="A15">
        <v>1973</v>
      </c>
    </row>
    <row r="16" spans="1:5" x14ac:dyDescent="0.35">
      <c r="A16">
        <v>1974</v>
      </c>
    </row>
    <row r="17" spans="1:1" x14ac:dyDescent="0.35">
      <c r="A17">
        <v>1975</v>
      </c>
    </row>
    <row r="18" spans="1:1" x14ac:dyDescent="0.35">
      <c r="A18">
        <v>1976</v>
      </c>
    </row>
    <row r="19" spans="1:1" x14ac:dyDescent="0.35">
      <c r="A19">
        <v>1977</v>
      </c>
    </row>
    <row r="20" spans="1:1" x14ac:dyDescent="0.35">
      <c r="A20">
        <v>1978</v>
      </c>
    </row>
    <row r="21" spans="1:1" x14ac:dyDescent="0.35">
      <c r="A21">
        <v>1979</v>
      </c>
    </row>
    <row r="22" spans="1:1" x14ac:dyDescent="0.35">
      <c r="A22">
        <v>1980</v>
      </c>
    </row>
    <row r="23" spans="1:1" x14ac:dyDescent="0.35">
      <c r="A23">
        <v>1981</v>
      </c>
    </row>
    <row r="24" spans="1:1" x14ac:dyDescent="0.35">
      <c r="A24">
        <v>1982</v>
      </c>
    </row>
    <row r="25" spans="1:1" x14ac:dyDescent="0.35">
      <c r="A25">
        <v>1983</v>
      </c>
    </row>
    <row r="26" spans="1:1" x14ac:dyDescent="0.35">
      <c r="A26">
        <v>1984</v>
      </c>
    </row>
    <row r="27" spans="1:1" x14ac:dyDescent="0.35">
      <c r="A27">
        <v>1985</v>
      </c>
    </row>
    <row r="28" spans="1:1" x14ac:dyDescent="0.35">
      <c r="A28">
        <v>1986</v>
      </c>
    </row>
    <row r="29" spans="1:1" x14ac:dyDescent="0.35">
      <c r="A29">
        <v>1987</v>
      </c>
    </row>
    <row r="30" spans="1:1" x14ac:dyDescent="0.35">
      <c r="A30">
        <v>1988</v>
      </c>
    </row>
    <row r="31" spans="1:1" x14ac:dyDescent="0.35">
      <c r="A31">
        <v>1989</v>
      </c>
    </row>
    <row r="32" spans="1:1" x14ac:dyDescent="0.35">
      <c r="A32">
        <v>1990</v>
      </c>
    </row>
    <row r="33" spans="1:1" x14ac:dyDescent="0.35">
      <c r="A33">
        <v>1991</v>
      </c>
    </row>
    <row r="34" spans="1:1" x14ac:dyDescent="0.35">
      <c r="A34">
        <v>1992</v>
      </c>
    </row>
    <row r="35" spans="1:1" x14ac:dyDescent="0.35">
      <c r="A35">
        <v>1993</v>
      </c>
    </row>
    <row r="36" spans="1:1" x14ac:dyDescent="0.35">
      <c r="A36">
        <v>1994</v>
      </c>
    </row>
    <row r="37" spans="1:1" x14ac:dyDescent="0.35">
      <c r="A37">
        <v>1995</v>
      </c>
    </row>
    <row r="38" spans="1:1" x14ac:dyDescent="0.35">
      <c r="A38">
        <v>1996</v>
      </c>
    </row>
    <row r="39" spans="1:1" x14ac:dyDescent="0.35">
      <c r="A39">
        <v>1997</v>
      </c>
    </row>
    <row r="40" spans="1:1" x14ac:dyDescent="0.35">
      <c r="A40">
        <v>1998</v>
      </c>
    </row>
    <row r="41" spans="1:1" x14ac:dyDescent="0.35">
      <c r="A41">
        <v>1999</v>
      </c>
    </row>
    <row r="42" spans="1:1" x14ac:dyDescent="0.35">
      <c r="A42">
        <v>2000</v>
      </c>
    </row>
    <row r="43" spans="1:1" x14ac:dyDescent="0.35">
      <c r="A43">
        <v>2001</v>
      </c>
    </row>
    <row r="44" spans="1:1" x14ac:dyDescent="0.35">
      <c r="A44">
        <v>2002</v>
      </c>
    </row>
    <row r="45" spans="1:1" x14ac:dyDescent="0.35">
      <c r="A45">
        <v>2003</v>
      </c>
    </row>
    <row r="46" spans="1:1" x14ac:dyDescent="0.35">
      <c r="A46">
        <v>2004</v>
      </c>
    </row>
    <row r="47" spans="1:1" x14ac:dyDescent="0.35">
      <c r="A47">
        <v>2005</v>
      </c>
    </row>
    <row r="48" spans="1:1" x14ac:dyDescent="0.35">
      <c r="A48">
        <v>2006</v>
      </c>
    </row>
    <row r="49" spans="1:1" x14ac:dyDescent="0.35">
      <c r="A49">
        <v>2007</v>
      </c>
    </row>
    <row r="50" spans="1:1" x14ac:dyDescent="0.35">
      <c r="A50">
        <v>2008</v>
      </c>
    </row>
    <row r="51" spans="1:1" x14ac:dyDescent="0.35">
      <c r="A51">
        <v>2009</v>
      </c>
    </row>
    <row r="52" spans="1:1" x14ac:dyDescent="0.35">
      <c r="A52">
        <v>2010</v>
      </c>
    </row>
    <row r="53" spans="1:1" x14ac:dyDescent="0.35">
      <c r="A53">
        <v>2011</v>
      </c>
    </row>
    <row r="54" spans="1:1" x14ac:dyDescent="0.35">
      <c r="A54">
        <v>2012</v>
      </c>
    </row>
    <row r="55" spans="1:1" x14ac:dyDescent="0.35">
      <c r="A55">
        <v>2013</v>
      </c>
    </row>
    <row r="56" spans="1:1" x14ac:dyDescent="0.35">
      <c r="A56">
        <v>2014</v>
      </c>
    </row>
    <row r="57" spans="1:1" x14ac:dyDescent="0.35">
      <c r="A57">
        <v>2015</v>
      </c>
    </row>
    <row r="58" spans="1:1" x14ac:dyDescent="0.35">
      <c r="A58">
        <v>2016</v>
      </c>
    </row>
    <row r="59" spans="1:1" x14ac:dyDescent="0.35">
      <c r="A59">
        <v>2017</v>
      </c>
    </row>
    <row r="60" spans="1:1" x14ac:dyDescent="0.35">
      <c r="A60">
        <v>2018</v>
      </c>
    </row>
    <row r="61" spans="1:1" x14ac:dyDescent="0.35">
      <c r="A61">
        <v>2019</v>
      </c>
    </row>
    <row r="62" spans="1:1" x14ac:dyDescent="0.35">
      <c r="A62">
        <v>2020</v>
      </c>
    </row>
    <row r="63" spans="1:1" x14ac:dyDescent="0.35">
      <c r="A63">
        <v>2021</v>
      </c>
    </row>
    <row r="64" spans="1:1" x14ac:dyDescent="0.35">
      <c r="A64">
        <v>2022</v>
      </c>
    </row>
    <row r="65" spans="1:1" x14ac:dyDescent="0.35">
      <c r="A65">
        <v>2023</v>
      </c>
    </row>
    <row r="66" spans="1:1" x14ac:dyDescent="0.35">
      <c r="A66">
        <v>2024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07000"/>
  </sheetPr>
  <dimension ref="A1:A27"/>
  <sheetViews>
    <sheetView workbookViewId="0"/>
  </sheetViews>
  <sheetFormatPr defaultRowHeight="14.5" x14ac:dyDescent="0.35"/>
  <cols>
    <col min="1" max="1" width="100" customWidth="1"/>
  </cols>
  <sheetData>
    <row r="1" spans="1:1" x14ac:dyDescent="0.35">
      <c r="A1" s="3" t="s">
        <v>38</v>
      </c>
    </row>
    <row r="2" spans="1:1" x14ac:dyDescent="0.35">
      <c r="A2" s="4"/>
    </row>
    <row r="3" spans="1:1" x14ac:dyDescent="0.35">
      <c r="A3" s="3" t="s">
        <v>39</v>
      </c>
    </row>
    <row r="4" spans="1:1" x14ac:dyDescent="0.35">
      <c r="A4" s="4" t="s">
        <v>40</v>
      </c>
    </row>
    <row r="5" spans="1:1" x14ac:dyDescent="0.35">
      <c r="A5" s="4" t="s">
        <v>41</v>
      </c>
    </row>
    <row r="6" spans="1:1" x14ac:dyDescent="0.35">
      <c r="A6" s="4" t="s">
        <v>42</v>
      </c>
    </row>
    <row r="7" spans="1:1" x14ac:dyDescent="0.35">
      <c r="A7" s="4" t="s">
        <v>43</v>
      </c>
    </row>
    <row r="8" spans="1:1" x14ac:dyDescent="0.35">
      <c r="A8" s="4" t="s">
        <v>44</v>
      </c>
    </row>
    <row r="9" spans="1:1" x14ac:dyDescent="0.35">
      <c r="A9" s="4"/>
    </row>
    <row r="10" spans="1:1" x14ac:dyDescent="0.35">
      <c r="A10" s="3" t="s">
        <v>45</v>
      </c>
    </row>
    <row r="11" spans="1:1" x14ac:dyDescent="0.35">
      <c r="A11" s="4" t="s">
        <v>46</v>
      </c>
    </row>
    <row r="12" spans="1:1" x14ac:dyDescent="0.35">
      <c r="A12" s="4" t="s">
        <v>47</v>
      </c>
    </row>
    <row r="13" spans="1:1" x14ac:dyDescent="0.35">
      <c r="A13" s="4" t="s">
        <v>48</v>
      </c>
    </row>
    <row r="14" spans="1:1" x14ac:dyDescent="0.35">
      <c r="A14" s="4" t="s">
        <v>49</v>
      </c>
    </row>
    <row r="15" spans="1:1" x14ac:dyDescent="0.35">
      <c r="A15" s="4" t="s">
        <v>50</v>
      </c>
    </row>
    <row r="16" spans="1:1" x14ac:dyDescent="0.35">
      <c r="A16" s="4"/>
    </row>
    <row r="17" spans="1:1" x14ac:dyDescent="0.35">
      <c r="A17" s="3" t="s">
        <v>51</v>
      </c>
    </row>
    <row r="18" spans="1:1" x14ac:dyDescent="0.35">
      <c r="A18" s="4" t="s">
        <v>52</v>
      </c>
    </row>
    <row r="19" spans="1:1" x14ac:dyDescent="0.35">
      <c r="A19" s="4" t="s">
        <v>53</v>
      </c>
    </row>
    <row r="20" spans="1:1" x14ac:dyDescent="0.35">
      <c r="A20" s="4" t="s">
        <v>54</v>
      </c>
    </row>
    <row r="21" spans="1:1" x14ac:dyDescent="0.35">
      <c r="A21" s="4" t="s">
        <v>55</v>
      </c>
    </row>
    <row r="22" spans="1:1" x14ac:dyDescent="0.35">
      <c r="A22" s="4"/>
    </row>
    <row r="23" spans="1:1" x14ac:dyDescent="0.35">
      <c r="A23" s="3" t="s">
        <v>56</v>
      </c>
    </row>
    <row r="24" spans="1:1" x14ac:dyDescent="0.35">
      <c r="A24" s="4" t="s">
        <v>57</v>
      </c>
    </row>
    <row r="25" spans="1:1" x14ac:dyDescent="0.35">
      <c r="A25" s="4" t="s">
        <v>58</v>
      </c>
    </row>
    <row r="26" spans="1:1" x14ac:dyDescent="0.35">
      <c r="A26" s="4" t="s">
        <v>59</v>
      </c>
    </row>
    <row r="27" spans="1:1" x14ac:dyDescent="0.35">
      <c r="A27" s="4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anual</vt:lpstr>
      <vt:lpstr>mensual</vt:lpstr>
      <vt:lpstr>bdp</vt:lpstr>
      <vt:lpstr>fiscal</vt:lpstr>
      <vt:lpstr>pbi_pc</vt:lpstr>
      <vt:lpstr>NOTAS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Hugo Vega</cp:lastModifiedBy>
  <cp:revision/>
  <dcterms:created xsi:type="dcterms:W3CDTF">2026-06-15T00:44:34Z</dcterms:created>
  <dcterms:modified xsi:type="dcterms:W3CDTF">2026-06-15T01:04:00Z</dcterms:modified>
  <cp:category/>
  <cp:contentStatus/>
</cp:coreProperties>
</file>